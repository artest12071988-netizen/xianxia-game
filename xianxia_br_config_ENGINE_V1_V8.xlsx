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f410cebd7e4f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說明" sheetId="1" r:id="R0dc6292184d34a70"/>
    <x:sheet xmlns:r="http://schemas.openxmlformats.org/officeDocument/2006/relationships" name="系統參數" sheetId="2" r:id="R9891db028d2d4610"/>
    <x:sheet xmlns:r="http://schemas.openxmlformats.org/officeDocument/2006/relationships" name="境界表" sheetId="3" r:id="Rc297e43c3ebd43d1"/>
    <x:sheet xmlns:r="http://schemas.openxmlformats.org/officeDocument/2006/relationships" name="突破表" sheetId="4" r:id="R4ea9480589504385"/>
    <x:sheet xmlns:r="http://schemas.openxmlformats.org/officeDocument/2006/relationships" name="境界能力" sheetId="5" r:id="Rdac847d95af34331"/>
    <x:sheet xmlns:r="http://schemas.openxmlformats.org/officeDocument/2006/relationships" name="物品表" sheetId="6" r:id="R557b001bb2934b6e"/>
    <x:sheet xmlns:r="http://schemas.openxmlformats.org/officeDocument/2006/relationships" name="合成表" sheetId="7" r:id="Rdaddb2f09f46478e"/>
    <x:sheet xmlns:r="http://schemas.openxmlformats.org/officeDocument/2006/relationships" name="效果類型" sheetId="8" r:id="Rf305adb73790450c"/>
    <x:sheet xmlns:r="http://schemas.openxmlformats.org/officeDocument/2006/relationships" name="狀態效果" sheetId="9" r:id="R2eadc4ff12044fb3"/>
    <x:sheet xmlns:r="http://schemas.openxmlformats.org/officeDocument/2006/relationships" name="受傷部位" sheetId="10" r:id="Rfdf4b91f09c84b42"/>
    <x:sheet xmlns:r="http://schemas.openxmlformats.org/officeDocument/2006/relationships" name="怪物表" sheetId="11" r:id="R24e695d751104506"/>
    <x:sheet xmlns:r="http://schemas.openxmlformats.org/officeDocument/2006/relationships" name="世界事件" sheetId="12" r:id="R5302923165da46ba"/>
    <x:sheet xmlns:r="http://schemas.openxmlformats.org/officeDocument/2006/relationships" name="地圖區域" sheetId="13" r:id="Rd51cadf21b2640ea"/>
    <x:sheet xmlns:r="http://schemas.openxmlformats.org/officeDocument/2006/relationships" name="特殊區域規則" sheetId="14" r:id="Rc27a2e83deb04288"/>
    <x:sheet xmlns:r="http://schemas.openxmlformats.org/officeDocument/2006/relationships" name="NPC商店" sheetId="15" r:id="R30870b352b7f4b64"/>
    <x:sheet xmlns:r="http://schemas.openxmlformats.org/officeDocument/2006/relationships" name="宗門職位" sheetId="16" r:id="R903b2b527352457a"/>
    <x:sheet xmlns:r="http://schemas.openxmlformats.org/officeDocument/2006/relationships" name="宗門科研" sheetId="17" r:id="Rae99e36803394998"/>
    <x:sheet xmlns:r="http://schemas.openxmlformats.org/officeDocument/2006/relationships" name="宗門能量" sheetId="18" r:id="R8c6ca3c2341a4670"/>
    <x:sheet xmlns:r="http://schemas.openxmlformats.org/officeDocument/2006/relationships" name="強化" sheetId="19" r:id="R4d365d11176945ac"/>
    <x:sheet xmlns:r="http://schemas.openxmlformats.org/officeDocument/2006/relationships" name="屬性附魔" sheetId="20" r:id="R161d506f1f78407c"/>
    <x:sheet xmlns:r="http://schemas.openxmlformats.org/officeDocument/2006/relationships" name="耐久與損壞" sheetId="21" r:id="Rd1f60300a1704d6a"/>
    <x:sheet xmlns:r="http://schemas.openxmlformats.org/officeDocument/2006/relationships" name="傷害公式" sheetId="22" r:id="R301f5e42a0d04989"/>
    <x:sheet xmlns:r="http://schemas.openxmlformats.org/officeDocument/2006/relationships" name="訊息模板" sheetId="23" r:id="R01b6044144c44d34"/>
    <x:sheet xmlns:r="http://schemas.openxmlformats.org/officeDocument/2006/relationships" name="活動場域" sheetId="24" r:id="R635b4cd1b0f74763"/>
    <x:sheet xmlns:r="http://schemas.openxmlformats.org/officeDocument/2006/relationships" name="管理員工具" sheetId="25" r:id="R21384365b9414068"/>
    <x:sheet xmlns:r="http://schemas.openxmlformats.org/officeDocument/2006/relationships" name="裝備欄位" sheetId="26" r:id="R2c8c0036c8f7402c"/>
    <x:sheet xmlns:r="http://schemas.openxmlformats.org/officeDocument/2006/relationships" name="引擎匯出規格" sheetId="27" r:id="Rfd19408322d341b0"/>
    <x:sheet xmlns:r="http://schemas.openxmlformats.org/officeDocument/2006/relationships" name="版本控制" sheetId="28" r:id="R77aa4fceafca4452"/>
    <x:sheet xmlns:r="http://schemas.openxmlformats.org/officeDocument/2006/relationships" name="AI修士" sheetId="29" r:id="Rf8b407eb366a4223"/>
  </x:sheets>
</x:workbook>
</file>

<file path=xl/sharedStrings.xml><?xml version="1.0" encoding="utf-8"?>
<x:sst xmlns:x="http://schemas.openxmlformats.org/spreadsheetml/2006/main">
  <x:si>
    <x:r>
      <x:rPr>
        <x:b/>
        <x:sz val="14"/>
        <x:color rgb="FFC00000"/>
        <x:rFont val="Noto Sans CJK SC"/>
        <x:family val="2"/>
      </x:rPr>
      <x:t xml:space="preserve">修仙大逃殺 — 遊戲配表（設計主檔 </x:t>
    </x:r>
    <x:r>
      <x:rPr>
        <x:b/>
        <x:sz val="14"/>
        <x:color rgb="FFC00000"/>
        <x:rFont val="Arial"/>
      </x:rPr>
      <x:t xml:space="preserve">v0.3</x:t>
    </x:r>
    <x:r>
      <x:rPr>
        <x:b/>
        <x:sz val="14"/>
        <x:color rgb="FFC00000"/>
        <x:rFont val="Noto Sans CJK SC"/>
        <x:family val="2"/>
      </x:rPr>
      <x:t xml:space="preserve">）</x:t>
    </x:r>
  </x:si>
  <x:si>
    <x:t xml:space="preserve">這份檔案是什麼</x:t>
  </x:si>
  <x:si>
    <x:t xml:space="preserve">所有遊戲數值的唯一設計來源。改這裡→轉檔→進遊戲，不需重寫程式。</x:t>
  </x:si>
  <x:si>
    <x:t xml:space="preserve">兩個資源池</x:t>
  </x:si>
  <x:si>
    <x:r>
      <x:rPr>
        <x:sz val="11"/>
        <x:rFont val="Noto Sans CJK SC"/>
        <x:family val="2"/>
      </x:rPr>
      <x:t xml:space="preserve">體力＝血</x:t>
    </x:r>
    <x:r>
      <x:rPr>
        <x:sz val="11"/>
        <x:rFont val="Arial"/>
      </x:rPr>
      <x:t xml:space="preserve">(HP)</x:t>
    </x:r>
    <x:r>
      <x:rPr>
        <x:sz val="11"/>
        <x:rFont val="Noto Sans CJK SC"/>
        <x:family val="2"/>
      </x:rPr>
      <x:t xml:space="preserve">：被打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中毒扣的是體力。 精力＝法力</x:t>
    </x:r>
    <x:r>
      <x:rPr>
        <x:sz val="11"/>
        <x:rFont val="Arial"/>
      </x:rPr>
      <x:t xml:space="preserve">(MP)</x:t>
    </x:r>
    <x:r>
      <x:rPr>
        <x:sz val="11"/>
        <x:rFont val="Noto Sans CJK SC"/>
        <x:family val="2"/>
      </x:rPr>
      <x:t xml:space="preserve">：移動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戰鬥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施法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探索扣的是精力。</x:t>
    </x:r>
  </x:si>
  <x:si>
    <x:t xml:space="preserve">等級與境界</x:t>
  </x:si>
  <x:si>
    <x:r>
      <x:rPr>
        <x:sz val="11"/>
        <x:rFont val="Arial"/>
      </x:rPr>
      <x:t xml:space="preserve">1–20</x:t>
    </x:r>
    <x:r>
      <x:rPr>
        <x:sz val="11"/>
        <x:rFont val="Noto Sans CJK SC"/>
        <x:family val="2"/>
      </x:rPr>
      <x:t xml:space="preserve">級。</x:t>
    </x:r>
    <x:r>
      <x:rPr>
        <x:sz val="11"/>
        <x:rFont val="Arial"/>
      </x:rPr>
      <x:t xml:space="preserve">1–5</x:t>
    </x:r>
    <x:r>
      <x:rPr>
        <x:sz val="11"/>
        <x:rFont val="Noto Sans CJK SC"/>
        <x:family val="2"/>
      </x:rPr>
      <x:t xml:space="preserve">練氣→</x:t>
    </x:r>
    <x:r>
      <x:rPr>
        <x:sz val="11"/>
        <x:rFont val="Arial"/>
      </x:rPr>
      <x:t xml:space="preserve">Lv5</x:t>
    </x:r>
    <x:r>
      <x:rPr>
        <x:sz val="11"/>
        <x:rFont val="Noto Sans CJK SC"/>
        <x:family val="2"/>
      </x:rPr>
      <x:t xml:space="preserve">突破→</x:t>
    </x:r>
    <x:r>
      <x:rPr>
        <x:sz val="11"/>
        <x:rFont val="Arial"/>
      </x:rPr>
      <x:t xml:space="preserve">6–10</x:t>
    </x:r>
    <x:r>
      <x:rPr>
        <x:sz val="11"/>
        <x:rFont val="Noto Sans CJK SC"/>
        <x:family val="2"/>
      </x:rPr>
      <x:t xml:space="preserve">築基→</x:t>
    </x:r>
    <x:r>
      <x:rPr>
        <x:sz val="11"/>
        <x:rFont val="Arial"/>
      </x:rPr>
      <x:t xml:space="preserve">Lv10→11–15</x:t>
    </x:r>
    <x:r>
      <x:rPr>
        <x:sz val="11"/>
        <x:rFont val="Noto Sans CJK SC"/>
        <x:family val="2"/>
      </x:rPr>
      <x:t xml:space="preserve">結丹→</x:t>
    </x:r>
    <x:r>
      <x:rPr>
        <x:sz val="11"/>
        <x:rFont val="Arial"/>
      </x:rPr>
      <x:t xml:space="preserve">Lv15→16–20</x:t>
    </x:r>
    <x:r>
      <x:rPr>
        <x:sz val="11"/>
        <x:rFont val="Noto Sans CJK SC"/>
        <x:family val="2"/>
      </x:rPr>
      <x:t xml:space="preserve">元嬰</x:t>
    </x:r>
    <x:r>
      <x:rPr>
        <x:sz val="11"/>
        <x:rFont val="Arial"/>
      </x:rPr>
      <x:t xml:space="preserve">(</x:t>
    </x:r>
    <x:r>
      <x:rPr>
        <x:sz val="11"/>
        <x:rFont val="Noto Sans CJK SC"/>
        <x:family val="2"/>
      </x:rPr>
      <x:t xml:space="preserve">封頂，化神以上暫不開放</x:t>
    </x:r>
    <x:r>
      <x:rPr>
        <x:sz val="11"/>
        <x:rFont val="Arial"/>
      </x:rPr>
      <x:t xml:space="preserve">)</x:t>
    </x:r>
    <x:r>
      <x:rPr>
        <x:sz val="11"/>
        <x:rFont val="Noto Sans CJK SC"/>
        <x:family val="2"/>
      </x:rPr>
      <x:t xml:space="preserve">。</x:t>
    </x:r>
  </x:si>
  <x:si>
    <x:t xml:space="preserve">顏色規則</x:t>
  </x:si>
  <x:si>
    <x:r>
      <x:rPr>
        <x:sz val="11"/>
        <x:rFont val="Noto Sans CJK SC"/>
        <x:family val="2"/>
      </x:rPr>
      <x:t xml:space="preserve">藍字</x:t>
    </x:r>
    <x:r>
      <x:rPr>
        <x:sz val="11"/>
        <x:rFont val="Arial"/>
      </x:rPr>
      <x:t xml:space="preserve">=</x:t>
    </x:r>
    <x:r>
      <x:rPr>
        <x:sz val="11"/>
        <x:rFont val="Noto Sans CJK SC"/>
        <x:family val="2"/>
      </x:rPr>
      <x:t xml:space="preserve">可改的輸入；黑字</x:t>
    </x:r>
    <x:r>
      <x:rPr>
        <x:sz val="11"/>
        <x:rFont val="Arial"/>
      </x:rPr>
      <x:t xml:space="preserve">=</x:t>
    </x:r>
    <x:r>
      <x:rPr>
        <x:sz val="11"/>
        <x:rFont val="Noto Sans CJK SC"/>
        <x:family val="2"/>
      </x:rPr>
      <x:t xml:space="preserve">公式</x:t>
    </x:r>
    <x:r>
      <x:rPr>
        <x:sz val="11"/>
        <x:rFont val="Arial"/>
      </x:rPr>
      <x:t xml:space="preserve">(</x:t>
    </x:r>
    <x:r>
      <x:rPr>
        <x:sz val="11"/>
        <x:rFont val="Noto Sans CJK SC"/>
        <x:family val="2"/>
      </x:rPr>
      <x:t xml:space="preserve">勿手改</x:t>
    </x:r>
    <x:r>
      <x:rPr>
        <x:sz val="11"/>
        <x:rFont val="Arial"/>
      </x:rPr>
      <x:t xml:space="preserve">)</x:t>
    </x:r>
    <x:r>
      <x:rPr>
        <x:sz val="11"/>
        <x:rFont val="Noto Sans CJK SC"/>
        <x:family val="2"/>
      </x:rPr>
      <x:t xml:space="preserve">；黃底</x:t>
    </x:r>
    <x:r>
      <x:rPr>
        <x:sz val="11"/>
        <x:rFont val="Arial"/>
      </x:rPr>
      <x:t xml:space="preserve">=</x:t>
    </x:r>
    <x:r>
      <x:rPr>
        <x:sz val="11"/>
        <x:rFont val="Noto Sans CJK SC"/>
        <x:family val="2"/>
      </x:rPr>
      <x:t xml:space="preserve">重要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必填。</x:t>
    </x:r>
  </x:si>
  <x:si>
    <x:r>
      <x:rPr>
        <x:b/>
        <x:sz val="11"/>
        <x:rFont val="Noto Sans CJK SC"/>
        <x:family val="2"/>
      </x:rPr>
      <x:t xml:space="preserve">新增物品</x:t>
    </x:r>
    <x:r>
      <x:rPr>
        <x:b/>
        <x:sz val="11"/>
        <x:rFont val="Arial"/>
      </x:rPr>
      <x:t xml:space="preserve">/</x:t>
    </x:r>
    <x:r>
      <x:rPr>
        <x:b/>
        <x:sz val="11"/>
        <x:rFont val="Noto Sans CJK SC"/>
        <x:family val="2"/>
      </x:rPr>
      <x:t xml:space="preserve">怪物</x:t>
    </x:r>
    <x:r>
      <x:rPr>
        <x:b/>
        <x:sz val="11"/>
        <x:rFont val="Arial"/>
      </x:rPr>
      <x:t xml:space="preserve">/</x:t>
    </x:r>
    <x:r>
      <x:rPr>
        <x:b/>
        <x:sz val="11"/>
        <x:rFont val="Noto Sans CJK SC"/>
        <x:family val="2"/>
      </x:rPr>
      <x:t xml:space="preserve">事件</x:t>
    </x:r>
  </x:si>
  <x:si>
    <x:r>
      <x:rPr>
        <x:sz val="11"/>
        <x:rFont val="Noto Sans CJK SC"/>
        <x:family val="2"/>
      </x:rPr>
      <x:t xml:space="preserve">到對應分頁複製一列改 </x:t>
    </x:r>
    <x:r>
      <x:rPr>
        <x:sz val="11"/>
        <x:rFont val="Arial"/>
      </x:rPr>
      <x:t xml:space="preserve">id </x:t>
    </x:r>
    <x:r>
      <x:rPr>
        <x:sz val="11"/>
        <x:rFont val="Noto Sans CJK SC"/>
        <x:family val="2"/>
      </x:rPr>
      <x:t xml:space="preserve">與數值即可，純文字免畫圖。</x:t>
    </x:r>
    <x:r>
      <x:rPr>
        <x:sz val="11"/>
        <x:rFont val="Arial"/>
      </x:rPr>
      <x:t xml:space="preserve">id </x:t>
    </x:r>
    <x:r>
      <x:rPr>
        <x:sz val="11"/>
        <x:rFont val="Noto Sans CJK SC"/>
        <x:family val="2"/>
      </x:rPr>
      <x:t xml:space="preserve">上線後只增不改。</x:t>
    </x:r>
  </x:si>
  <x:si>
    <x:t xml:space="preserve">分頁導覽</x:t>
  </x:si>
  <x:si>
    <x:t xml:space="preserve">  系統參數</x:t>
  </x:si>
  <x:si>
    <x:r>
      <x:rPr>
        <x:sz val="11"/>
        <x:rFont val="Noto Sans CJK SC"/>
        <x:family val="2"/>
      </x:rPr>
      <x:t xml:space="preserve">全域數值：移動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探索精力、睡眠回復、療傷、遭遇參數。</x:t>
    </x:r>
  </x:si>
  <x:si>
    <x:t xml:space="preserve">  境界表</x:t>
  </x:si>
  <x:si>
    <x:r>
      <x:rPr>
        <x:sz val="11"/>
        <x:rFont val="Arial"/>
      </x:rPr>
      <x:t xml:space="preserve">1–20</x:t>
    </x:r>
    <x:r>
      <x:rPr>
        <x:sz val="11"/>
        <x:rFont val="Noto Sans CJK SC"/>
        <x:family val="2"/>
      </x:rPr>
      <x:t xml:space="preserve">級經驗表、四維、突破觸發點。</x:t>
    </x:r>
  </x:si>
  <x:si>
    <x:t xml:space="preserve">  突破表</x:t>
  </x:si>
  <x:si>
    <x:t xml:space="preserve">各突破階段基礎成功率、突破丹與累積增益。</x:t>
  </x:si>
  <x:si>
    <x:t xml:space="preserve">  境界能力</x:t>
  </x:si>
  <x:si>
    <x:r>
      <x:rPr>
        <x:sz val="11"/>
        <x:rFont val="Noto Sans CJK SC"/>
        <x:family val="2"/>
      </x:rPr>
      <x:t xml:space="preserve">移動格數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壽元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神識發現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伏擊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逃跑削減（按大境界）。</x:t>
    </x:r>
  </x:si>
  <x:si>
    <x:r>
      <x:rPr>
        <x:sz val="11"/>
        <x:rFont val="Noto Sans CJK SC"/>
        <x:family val="2"/>
      </x:rPr>
      <x:t xml:space="preserve">  物品表 </x:t>
    </x:r>
    <x:r>
      <x:rPr>
        <x:sz val="11"/>
        <x:rFont val="Arial"/>
      </x:rPr>
      <x:t xml:space="preserve">/ </x:t>
    </x:r>
    <x:r>
      <x:rPr>
        <x:sz val="11"/>
        <x:rFont val="Noto Sans CJK SC"/>
        <x:family val="2"/>
      </x:rPr>
      <x:t xml:space="preserve">合成表</x:t>
    </x:r>
  </x:si>
  <x:si>
    <x:t xml:space="preserve">所有物品；合成需習得丹方。</x:t>
  </x:si>
  <x:si>
    <x:r>
      <x:rPr>
        <x:sz val="11"/>
        <x:rFont val="Noto Sans CJK SC"/>
        <x:family val="2"/>
      </x:rPr>
      <x:t xml:space="preserve">  效果類型 </x:t>
    </x:r>
    <x:r>
      <x:rPr>
        <x:sz val="11"/>
        <x:rFont val="Arial"/>
      </x:rPr>
      <x:t xml:space="preserve">/ </x:t>
    </x:r>
    <x:r>
      <x:rPr>
        <x:sz val="11"/>
        <x:rFont val="Noto Sans CJK SC"/>
        <x:family val="2"/>
      </x:rPr>
      <x:t xml:space="preserve">狀態效果</x:t>
    </x:r>
  </x:si>
  <x:si>
    <x:r>
      <x:rPr>
        <x:sz val="11"/>
        <x:rFont val="Noto Sans CJK SC"/>
        <x:family val="2"/>
      </x:rPr>
      <x:t xml:space="preserve">引擎機制字典＋</x:t>
    </x:r>
    <x:r>
      <x:rPr>
        <x:sz val="11"/>
        <x:rFont val="Arial"/>
      </x:rPr>
      <x:t xml:space="preserve">buff/debuff</x:t>
    </x:r>
    <x:r>
      <x:rPr>
        <x:sz val="11"/>
        <x:rFont val="Noto Sans CJK SC"/>
        <x:family val="2"/>
      </x:rPr>
      <x:t xml:space="preserve">字典（資料驅動核心）。</x:t>
    </x:r>
  </x:si>
  <x:si>
    <x:t xml:space="preserve">  受傷部位</x:t>
  </x:si>
  <x:si>
    <x:t xml:space="preserve">部位受傷效果與療傷精力。</x:t>
  </x:si>
  <x:si>
    <x:t xml:space="preserve">  怪物表</x:t>
  </x:si>
  <x:si>
    <x:r>
      <x:rPr>
        <x:sz val="11"/>
        <x:rFont val="Noto Sans CJK SC"/>
        <x:family val="2"/>
      </x:rPr>
      <x:t xml:space="preserve">妖獸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妖王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古魔：等級、四維、給予經驗、掉落。</x:t>
    </x:r>
  </x:si>
  <x:si>
    <x:t xml:space="preserve">  世界事件</x:t>
  </x:si>
  <x:si>
    <x:r>
      <x:rPr>
        <x:sz val="11"/>
        <x:rFont val="Noto Sans CJK SC"/>
        <x:family val="2"/>
      </x:rPr>
      <x:t xml:space="preserve">黑雲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獸潮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魔界降臨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天地大劫。</x:t>
    </x:r>
  </x:si>
  <x:si>
    <x:r>
      <x:rPr>
        <x:sz val="11"/>
        <x:rFont val="Noto Sans CJK SC"/>
        <x:family val="2"/>
      </x:rPr>
      <x:t xml:space="preserve">  地圖區域 </x:t>
    </x:r>
    <x:r>
      <x:rPr>
        <x:sz val="11"/>
        <x:rFont val="Arial"/>
      </x:rPr>
      <x:t xml:space="preserve">/ </x:t>
    </x:r>
    <x:r>
      <x:rPr>
        <x:sz val="11"/>
        <x:rFont val="Noto Sans CJK SC"/>
        <x:family val="2"/>
      </x:rPr>
      <x:t xml:space="preserve">特殊區域規則</x:t>
    </x:r>
  </x:si>
  <x:si>
    <x:t xml:space="preserve">區域與探索產出；交易所安全區規則。</x:t>
  </x:si>
  <x:si>
    <x:r>
      <x:rPr>
        <x:sz val="11"/>
        <x:rFont val="Arial"/>
      </x:rPr>
      <x:t xml:space="preserve">  NPC</x:t>
    </x:r>
    <x:r>
      <x:rPr>
        <x:sz val="11"/>
        <x:rFont val="Noto Sans CJK SC"/>
        <x:family val="2"/>
      </x:rPr>
      <x:t xml:space="preserve">商店</x:t>
    </x:r>
  </x:si>
  <x:si>
    <x:r>
      <x:rPr>
        <x:sz val="11"/>
        <x:rFont val="Noto Sans CJK SC"/>
        <x:family val="2"/>
      </x:rPr>
      <x:t xml:space="preserve">交易所 </x:t>
    </x:r>
    <x:r>
      <x:rPr>
        <x:sz val="11"/>
        <x:rFont val="Arial"/>
      </x:rPr>
      <x:t xml:space="preserve">NPC </x:t>
    </x:r>
    <x:r>
      <x:rPr>
        <x:sz val="11"/>
        <x:rFont val="Noto Sans CJK SC"/>
        <x:family val="2"/>
      </x:rPr>
      <x:t xml:space="preserve">販售清單。</x:t>
    </x:r>
  </x:si>
  <x:si>
    <x:t xml:space="preserve">  宗門職位</x:t>
  </x:si>
  <x:si>
    <x:r>
      <x:rPr>
        <x:sz val="11"/>
        <x:rFont val="Noto Sans CJK SC"/>
        <x:family val="2"/>
      </x:rPr>
      <x:t xml:space="preserve">宗門</x:t>
    </x:r>
    <x:r>
      <x:rPr>
        <x:sz val="11"/>
        <x:rFont val="Arial"/>
      </x:rPr>
      <x:t xml:space="preserve">(</x:t>
    </x:r>
    <x:r>
      <x:rPr>
        <x:sz val="11"/>
        <x:rFont val="Noto Sans CJK SC"/>
        <x:family val="2"/>
      </x:rPr>
      <x:t xml:space="preserve">工會</x:t>
    </x:r>
    <x:r>
      <x:rPr>
        <x:sz val="11"/>
        <x:rFont val="Arial"/>
      </x:rPr>
      <x:t xml:space="preserve">)</x:t>
    </x:r>
    <x:r>
      <x:rPr>
        <x:sz val="11"/>
        <x:rFont val="Noto Sans CJK SC"/>
        <x:family val="2"/>
      </x:rPr>
      <x:t xml:space="preserve">職位與靈石俸祿。</x:t>
    </x:r>
  </x:si>
  <x:si>
    <x:r>
      <x:rPr>
        <x:sz val="11"/>
        <x:rFont val="Noto Sans CJK SC"/>
        <x:family val="2"/>
      </x:rPr>
      <x:t xml:space="preserve">  強化 </x:t>
    </x:r>
    <x:r>
      <x:rPr>
        <x:sz val="11"/>
        <x:rFont val="Arial"/>
      </x:rPr>
      <x:t xml:space="preserve">/ </x:t>
    </x:r>
    <x:r>
      <x:rPr>
        <x:sz val="11"/>
        <x:rFont val="Noto Sans CJK SC"/>
        <x:family val="2"/>
      </x:rPr>
      <x:t xml:space="preserve">屬性附魔</x:t>
    </x:r>
  </x:si>
  <x:si>
    <x:r>
      <x:rPr>
        <x:sz val="11"/>
        <x:rFont val="Noto Sans CJK SC"/>
        <x:family val="2"/>
      </x:rPr>
      <x:t xml:space="preserve">庚精強化裝備；武器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防具附火冰雷屬性。</x:t>
    </x:r>
  </x:si>
  <x:si>
    <x:t xml:space="preserve">  耐久與損壞</x:t>
  </x:si>
  <x:si>
    <x:r>
      <x:rPr>
        <x:sz val="11"/>
        <x:rFont val="Noto Sans CJK SC"/>
        <x:family val="2"/>
      </x:rPr>
      <x:t xml:space="preserve">長劍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飛劍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防具的損壞率、上限、修復。</x:t>
    </x:r>
  </x:si>
  <x:si>
    <x:t xml:space="preserve">  傷害公式</x:t>
  </x:si>
  <x:si>
    <x:r>
      <x:rPr>
        <x:sz val="11"/>
        <x:rFont val="Noto Sans CJK SC"/>
        <x:family val="2"/>
      </x:rPr>
      <x:t xml:space="preserve">攻防傷害計算與範例</x:t>
    </x:r>
    <x:r>
      <x:rPr>
        <x:sz val="11"/>
        <x:rFont val="Arial"/>
      </x:rPr>
      <x:t xml:space="preserve">(</x:t>
    </x:r>
    <x:r>
      <x:rPr>
        <x:sz val="11"/>
        <x:rFont val="Noto Sans CJK SC"/>
        <x:family val="2"/>
      </x:rPr>
      <x:t xml:space="preserve">防具如何折抵傷害</x:t>
    </x:r>
    <x:r>
      <x:rPr>
        <x:sz val="11"/>
        <x:rFont val="Arial"/>
      </x:rPr>
      <x:t xml:space="preserve">)</x:t>
    </x:r>
    <x:r>
      <x:rPr>
        <x:sz val="11"/>
        <x:rFont val="Noto Sans CJK SC"/>
        <x:family val="2"/>
      </x:rPr>
      <x:t xml:space="preserve">。</x:t>
    </x:r>
  </x:si>
  <x:si>
    <x:t xml:space="preserve">  訊息模板</x:t>
  </x:si>
  <x:si>
    <x:r>
      <x:rPr>
        <x:sz val="11"/>
        <x:rFont val="Noto Sans CJK SC"/>
        <x:family val="2"/>
      </x:rPr>
      <x:t xml:space="preserve">戰鬥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系統訊息文字模板</x:t>
    </x:r>
    <x:r>
      <x:rPr>
        <x:sz val="11"/>
        <x:rFont val="Arial"/>
      </x:rPr>
      <x:t xml:space="preserve">(</x:t>
    </x:r>
    <x:r>
      <x:rPr>
        <x:sz val="11"/>
        <x:rFont val="Noto Sans CJK SC"/>
        <x:family val="2"/>
      </x:rPr>
      <x:t xml:space="preserve">可改台詞不動程式</x:t>
    </x:r>
    <x:r>
      <x:rPr>
        <x:sz val="11"/>
        <x:rFont val="Arial"/>
      </x:rPr>
      <x:t xml:space="preserve">)</x:t>
    </x:r>
    <x:r>
      <x:rPr>
        <x:sz val="11"/>
        <x:rFont val="Noto Sans CJK SC"/>
        <x:family val="2"/>
      </x:rPr>
      <x:t xml:space="preserve">。</x:t>
    </x:r>
  </x:si>
  <x:si>
    <x:t xml:space="preserve">  活動場域</x:t>
  </x:si>
  <x:si>
    <x:r>
      <x:rPr>
        <x:sz val="11"/>
        <x:rFont val="Noto Sans CJK SC"/>
        <x:family val="2"/>
      </x:rPr>
      <x:t xml:space="preserve">你的自訂活動空間</x:t>
    </x:r>
    <x:r>
      <x:rPr>
        <x:sz val="11"/>
        <x:rFont val="Arial"/>
      </x:rPr>
      <x:t xml:space="preserve">(3×3)</x:t>
    </x:r>
    <x:r>
      <x:rPr>
        <x:sz val="11"/>
        <x:rFont val="Noto Sans CJK SC"/>
        <x:family val="2"/>
      </x:rPr>
      <x:t xml:space="preserve">、專屬怪物與掉落。</x:t>
    </x:r>
  </x:si>
  <x:si>
    <x:t xml:space="preserve">  管理員工具</x:t>
  </x:si>
  <x:si>
    <x:t xml:space="preserve">後台即時控制：地圖放毒、活動開關、公告。</x:t>
  </x:si>
  <x:si>
    <x:t xml:space="preserve">  裝備欄位</x:t>
  </x:si>
  <x:si>
    <x:r>
      <x:rPr>
        <x:sz val="11"/>
        <x:rFont val="Noto Sans CJK SC"/>
        <x:family val="2"/>
      </x:rPr>
      <x:t xml:space="preserve">防具部位；毒防具穿</x:t>
    </x:r>
    <x:r>
      <x:rPr>
        <x:sz val="11"/>
        <x:rFont val="Arial"/>
      </x:rPr>
      <x:t xml:space="preserve">2</x:t>
    </x:r>
    <x:r>
      <x:rPr>
        <x:sz val="11"/>
        <x:rFont val="Noto Sans CJK SC"/>
        <x:family val="2"/>
      </x:rPr>
      <x:t xml:space="preserve">件免疫地圖毒。</x:t>
    </x:r>
  </x:si>
  <x:si>
    <x:t xml:space="preserve">系統參數（全域）</x:t>
  </x:si>
  <x:si>
    <x:r>
      <x:rPr>
        <x:b/>
        <x:sz val="11"/>
        <x:color rgb="FFFFFFFF"/>
        <x:rFont val="Noto Sans CJK SC"/>
        <x:family val="2"/>
      </x:rPr>
      <x:t xml:space="preserve">參數 </x:t>
    </x:r>
    <x:r>
      <x:rPr>
        <x:b/>
        <x:sz val="11"/>
        <x:color rgb="FFFFFFFF"/>
        <x:rFont val="Arial"/>
      </x:rPr>
      <x:t xml:space="preserve">key</x:t>
    </x:r>
  </x:si>
  <x:si>
    <x:t xml:space="preserve">數值</x:t>
  </x:si>
  <x:si>
    <x:t xml:space="preserve">單位</x:t>
  </x:si>
  <x:si>
    <x:t xml:space="preserve">說明</x:t>
  </x:si>
  <x:si>
    <x:t xml:space="preserve">move_stamina_cost</x:t>
  </x:si>
  <x:si>
    <x:t xml:space="preserve">精力</x:t>
  </x:si>
  <x:si>
    <x:t xml:space="preserve">移動到其他區域每次消耗</x:t>
  </x:si>
  <x:si>
    <x:t xml:space="preserve">explore_stamina_cost</x:t>
  </x:si>
  <x:si>
    <x:t xml:space="preserve">原地探索每次消耗</x:t>
  </x:si>
  <x:si>
    <x:t xml:space="preserve">sleep_hp_per_sec</x:t>
  </x:si>
  <x:si>
    <x:r>
      <x:rPr>
        <x:sz val="11"/>
        <x:color rgb="FF000000"/>
        <x:rFont val="Noto Sans CJK SC"/>
        <x:family val="2"/>
      </x:rPr>
      <x:t xml:space="preserve">體力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秒</x:t>
    </x:r>
  </x:si>
  <x:si>
    <x:r>
      <x:rPr>
        <x:sz val="11"/>
        <x:color rgb="FF000000"/>
        <x:rFont val="Noto Sans CJK SC"/>
        <x:family val="2"/>
      </x:rPr>
      <x:t xml:space="preserve">睡眠：</x:t>
    </x:r>
    <x:r>
      <x:rPr>
        <x:sz val="11"/>
        <x:color rgb="FF000000"/>
        <x:rFont val="Arial"/>
      </x:rPr>
      <x:t xml:space="preserve">10</x:t>
    </x:r>
    <x:r>
      <x:rPr>
        <x:sz val="11"/>
        <x:color rgb="FF000000"/>
        <x:rFont val="Noto Sans CJK SC"/>
        <x:family val="2"/>
      </x:rPr>
      <x:t xml:space="preserve">秒回</x:t>
    </x:r>
    <x:r>
      <x:rPr>
        <x:sz val="11"/>
        <x:color rgb="FF000000"/>
        <x:rFont val="Arial"/>
      </x:rPr>
      <x:t xml:space="preserve">1</x:t>
    </x:r>
    <x:r>
      <x:rPr>
        <x:sz val="11"/>
        <x:color rgb="FF000000"/>
        <x:rFont val="Noto Sans CJK SC"/>
        <x:family val="2"/>
      </x:rPr>
      <x:t xml:space="preserve">體力</x:t>
    </x:r>
  </x:si>
  <x:si>
    <x:t xml:space="preserve">sleep_mp_per_sec</x:t>
  </x:si>
  <x:si>
    <x:r>
      <x:rPr>
        <x:sz val="11"/>
        <x:color rgb="FF000000"/>
        <x:rFont val="Noto Sans CJK SC"/>
        <x:family val="2"/>
      </x:rPr>
      <x:t xml:space="preserve">精力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秒</x:t>
    </x:r>
  </x:si>
  <x:si>
    <x:r>
      <x:rPr>
        <x:sz val="11"/>
        <x:color rgb="FF000000"/>
        <x:rFont val="Noto Sans CJK SC"/>
        <x:family val="2"/>
      </x:rPr>
      <x:t xml:space="preserve">睡眠：</x:t>
    </x:r>
    <x:r>
      <x:rPr>
        <x:sz val="11"/>
        <x:color rgb="FF000000"/>
        <x:rFont val="Arial"/>
      </x:rPr>
      <x:t xml:space="preserve">3</x:t>
    </x:r>
    <x:r>
      <x:rPr>
        <x:sz val="11"/>
        <x:color rgb="FF000000"/>
        <x:rFont val="Noto Sans CJK SC"/>
        <x:family val="2"/>
      </x:rPr>
      <x:t xml:space="preserve">秒回</x:t>
    </x:r>
    <x:r>
      <x:rPr>
        <x:sz val="11"/>
        <x:color rgb="FF000000"/>
        <x:rFont val="Arial"/>
      </x:rPr>
      <x:t xml:space="preserve">1</x:t>
    </x:r>
    <x:r>
      <x:rPr>
        <x:sz val="11"/>
        <x:color rgb="FF000000"/>
        <x:rFont val="Noto Sans CJK SC"/>
        <x:family val="2"/>
      </x:rPr>
      <x:t xml:space="preserve">精力</x:t>
    </x:r>
  </x:si>
  <x:si>
    <x:t xml:space="preserve">heal_base_cost</x:t>
  </x:si>
  <x:si>
    <x:t xml:space="preserve">一般部位療傷消耗</x:t>
  </x:si>
  <x:si>
    <x:t xml:space="preserve">heal_head_cost</x:t>
  </x:si>
  <x:si>
    <x:t xml:space="preserve">頭部療傷消耗</x:t>
  </x:si>
  <x:si>
    <x:t xml:space="preserve">heal_leg_cost</x:t>
  </x:si>
  <x:si>
    <x:t xml:space="preserve">腿部療傷消耗</x:t>
  </x:si>
  <x:si>
    <x:t xml:space="preserve">encounter_miss_rate</x:t>
  </x:si>
  <x:si>
    <x:t xml:space="preserve">機率</x:t>
  </x:si>
  <x:si>
    <x:t xml:space="preserve">攻擊落空機率</x:t>
  </x:si>
  <x:si>
    <x:t xml:space="preserve">encounter_flee_success</x:t>
  </x:si>
  <x:si>
    <x:t xml:space="preserve">逃跑成功基礎機率</x:t>
  </x:si>
  <x:si>
    <x:t xml:space="preserve">detect_direct_encounter</x:t>
  </x:si>
  <x:si>
    <x:r>
      <x:rPr>
        <x:sz val="11"/>
        <x:color rgb="FF000000"/>
        <x:rFont val="Noto Sans CJK SC"/>
        <x:family val="2"/>
      </x:rPr>
      <x:t xml:space="preserve">神識發現後→直接遭遇的機率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其餘</x:t>
    </x:r>
    <x:r>
      <x:rPr>
        <x:sz val="11"/>
        <x:color rgb="FF000000"/>
        <x:rFont val="Arial"/>
      </x:rPr>
      <x:t xml:space="preserve">70%</x:t>
    </x:r>
    <x:r>
      <x:rPr>
        <x:sz val="11"/>
        <x:color rgb="FF000000"/>
        <x:rFont val="Noto Sans CJK SC"/>
        <x:family val="2"/>
      </x:rPr>
      <x:t xml:space="preserve">由發現方選伏擊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離開</x:t>
    </x:r>
    <x:r>
      <x:rPr>
        <x:sz val="11"/>
        <x:color rgb="FF000000"/>
        <x:rFont val="Arial"/>
      </x:rPr>
      <x:t xml:space="preserve">)</x:t>
    </x:r>
  </x:si>
  <x:si>
    <x:t xml:space="preserve">currency_name</x:t>
  </x:si>
  <x:si>
    <x:t xml:space="preserve">靈石</x:t>
  </x:si>
  <x:si>
    <x:t xml:space="preserve">—</x:t>
  </x:si>
  <x:si>
    <x:t xml:space="preserve">遊戲貨幣名稱</x:t>
  </x:si>
  <x:si>
    <x:t xml:space="preserve">start_stamina</x:t>
  </x:si>
  <x:si>
    <x:t xml:space="preserve">新角色初始精力上限</x:t>
  </x:si>
  <x:si>
    <x:t xml:space="preserve">map_rows</x:t>
  </x:si>
  <x:si>
    <x:t xml:space="preserve">格</x:t>
  </x:si>
  <x:si>
    <x:r>
      <x:rPr>
        <x:sz val="11"/>
        <x:color rgb="FF000000"/>
        <x:rFont val="Noto Sans CJK SC"/>
        <x:family val="2"/>
      </x:rPr>
      <x:t xml:space="preserve">地圖列數 </x:t>
    </x:r>
    <x:r>
      <x:rPr>
        <x:sz val="11"/>
        <x:color rgb="FF000000"/>
        <x:rFont val="Arial"/>
      </x:rPr>
      <x:t xml:space="preserve">A~J</x:t>
    </x:r>
  </x:si>
  <x:si>
    <x:t xml:space="preserve">map_cols</x:t>
  </x:si>
  <x:si>
    <x:r>
      <x:rPr>
        <x:sz val="11"/>
        <x:color rgb="FF000000"/>
        <x:rFont val="Noto Sans CJK SC"/>
        <x:family val="2"/>
      </x:rPr>
      <x:t xml:space="preserve">地圖行數 </x:t>
    </x:r>
    <x:r>
      <x:rPr>
        <x:sz val="11"/>
        <x:color rgb="FF000000"/>
        <x:rFont val="Arial"/>
      </x:rPr>
      <x:t xml:space="preserve">1~10</x:t>
    </x:r>
  </x:si>
  <x:si>
    <x:t xml:space="preserve">bound_stone_name</x:t>
  </x:si>
  <x:si>
    <x:t xml:space="preserve">綁定靈石</x:t>
  </x:si>
  <x:si>
    <x:r>
      <x:rPr>
        <x:sz val="11"/>
        <x:color rgb="FF000000"/>
        <x:rFont val="Noto Sans CJK SC"/>
        <x:family val="2"/>
      </x:rPr>
      <x:t xml:space="preserve">新手村加成所得靈石，不可交易，僅</x:t>
    </x:r>
    <x:r>
      <x:rPr>
        <x:sz val="11"/>
        <x:color rgb="FF000000"/>
        <x:rFont val="Arial"/>
      </x:rPr>
      <x:t xml:space="preserve">NPC</x:t>
    </x:r>
    <x:r>
      <x:rPr>
        <x:sz val="11"/>
        <x:color rgb="FF000000"/>
        <x:rFont val="Noto Sans CJK SC"/>
        <x:family val="2"/>
      </x:rPr>
      <x:t xml:space="preserve">購買可用</x:t>
    </x:r>
  </x:si>
  <x:si>
    <x:t xml:space="preserve">cave_array_hours</x:t>
  </x:si>
  <x:si>
    <x:t xml:space="preserve">小時</x:t>
  </x:si>
  <x:si>
    <x:t xml:space="preserve">洞府陣盤單次有效時數</x:t>
  </x:si>
  <x:si>
    <x:t xml:space="preserve">meditate_base_exp</x:t>
  </x:si>
  <x:si>
    <x:r>
      <x:rPr>
        <x:sz val="11"/>
        <x:color rgb="FF000000"/>
        <x:rFont val="Arial"/>
      </x:rPr>
      <x:t xml:space="preserve">EXP/</x:t>
    </x:r>
    <x:r>
      <x:rPr>
        <x:sz val="11"/>
        <x:color rgb="FF000000"/>
        <x:rFont val="Noto Sans CJK SC"/>
        <x:family val="2"/>
      </x:rPr>
      <x:t xml:space="preserve">時</x:t>
    </x:r>
  </x:si>
  <x:si>
    <x:r>
      <x:rPr>
        <x:sz val="11"/>
        <x:color rgb="FF000000"/>
        <x:rFont val="Noto Sans CJK SC"/>
        <x:family val="2"/>
      </x:rPr>
      <x:t xml:space="preserve">打坐基礎經驗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再乘區域『打坐</x:t>
    </x:r>
    <x:r>
      <x:rPr>
        <x:sz val="11"/>
        <x:color rgb="FF000000"/>
        <x:rFont val="Arial"/>
      </x:rPr>
      <x:t xml:space="preserve">EXP/</x:t>
    </x:r>
    <x:r>
      <x:rPr>
        <x:sz val="11"/>
        <x:color rgb="FF000000"/>
        <x:rFont val="Noto Sans CJK SC"/>
        <x:family val="2"/>
      </x:rPr>
      <x:t xml:space="preserve">時』</x:t>
    </x:r>
    <x:r>
      <x:rPr>
        <x:sz val="11"/>
        <x:color rgb="FF000000"/>
        <x:rFont val="Arial"/>
      </x:rPr>
      <x:t xml:space="preserve">)</x:t>
    </x:r>
  </x:si>
  <x:si>
    <x:t xml:space="preserve">novice_level_cap</x:t>
  </x:si>
  <x:si>
    <x:t xml:space="preserve">級</x:t>
  </x:si>
  <x:si>
    <x:r>
      <x:rPr>
        <x:sz val="11"/>
        <x:color rgb="FF000000"/>
        <x:rFont val="Noto Sans CJK SC"/>
        <x:family val="2"/>
      </x:rPr>
      <x:t xml:space="preserve">新手村可活動的最高等級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僅練氣</x:t>
    </x:r>
    <x:r>
      <x:rPr>
        <x:sz val="11"/>
        <x:color rgb="FF000000"/>
        <x:rFont val="Arial"/>
      </x:rPr>
      <x:t xml:space="preserve">1-5)</x:t>
    </x:r>
  </x:si>
  <x:si>
    <x:t xml:space="preserve">novice_monster_bonus</x:t>
  </x:si>
  <x:si>
    <x:r>
      <x:rPr>
        <x:sz val="11"/>
        <x:color rgb="FF000000"/>
        <x:rFont val="Noto Sans CJK SC"/>
        <x:family val="2"/>
      </x:rPr>
      <x:t xml:space="preserve">新手村怪物遭遇 </x:t>
    </x:r>
    <x:r>
      <x:rPr>
        <x:sz val="11"/>
        <x:color rgb="FF000000"/>
        <x:rFont val="Arial"/>
      </x:rPr>
      <x:t xml:space="preserve">+20%</x:t>
    </x:r>
  </x:si>
  <x:si>
    <x:t xml:space="preserve">novice_stone_bonus</x:t>
  </x:si>
  <x:si>
    <x:r>
      <x:rPr>
        <x:sz val="11"/>
        <x:color rgb="FF000000"/>
        <x:rFont val="Noto Sans CJK SC"/>
        <x:family val="2"/>
      </x:rPr>
      <x:t xml:space="preserve">新手村靈石獲得 </x:t>
    </x:r>
    <x:r>
      <x:rPr>
        <x:sz val="11"/>
        <x:color rgb="FF000000"/>
        <x:rFont val="Arial"/>
      </x:rPr>
      <x:t xml:space="preserve">+20%(</x:t>
    </x:r>
    <x:r>
      <x:rPr>
        <x:sz val="11"/>
        <x:color rgb="FF000000"/>
        <x:rFont val="Noto Sans CJK SC"/>
        <x:family val="2"/>
      </x:rPr>
      <x:t xml:space="preserve">所得為綁定靈石</x:t>
    </x:r>
    <x:r>
      <x:rPr>
        <x:sz val="11"/>
        <x:color rgb="FF000000"/>
        <x:rFont val="Arial"/>
      </x:rPr>
      <x:t xml:space="preserve">)</x:t>
    </x:r>
  </x:si>
  <x:si>
    <x:t xml:space="preserve">defense_coeff</x:t>
  </x:si>
  <x:si>
    <x:t xml:space="preserve">係數</x:t>
  </x:si>
  <x:si>
    <x:r>
      <x:rPr>
        <x:sz val="11"/>
        <x:color rgb="FF000000"/>
        <x:rFont val="Noto Sans CJK SC"/>
        <x:family val="2"/>
      </x:rPr>
      <x:t xml:space="preserve">傷害公式中防禦權重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越高防具越有用</x:t>
    </x:r>
    <x:r>
      <x:rPr>
        <x:sz val="11"/>
        <x:color rgb="FF000000"/>
        <x:rFont val="Arial"/>
      </x:rPr>
      <x:t xml:space="preserve">)</x:t>
    </x:r>
    <x:r>
      <x:rPr>
        <x:sz val="11"/>
        <x:color rgb="FF000000"/>
        <x:rFont val="Noto Sans CJK SC"/>
        <x:family val="2"/>
      </x:rPr>
      <x:t xml:space="preserve">；見傷害公式分頁</x:t>
    </x:r>
  </x:si>
  <x:si>
    <x:t xml:space="preserve">ice_extra_mp_cost</x:t>
  </x:si>
  <x:si>
    <x:t xml:space="preserve">冰屬性武器每次攻擊額外消耗法力</x:t>
  </x:si>
  <x:si>
    <x:t xml:space="preserve">qi_deviation_cure_mp</x:t>
  </x:si>
  <x:si>
    <x:r>
      <x:rPr>
        <x:b/>
        <x:sz val="14"/>
        <x:color rgb="FFC00000"/>
        <x:rFont val="Noto Sans CJK SC"/>
        <x:family val="2"/>
      </x:rPr>
      <x:t xml:space="preserve">境界表（等級 </x:t>
    </x:r>
    <x:r>
      <x:rPr>
        <x:b/>
        <x:sz val="14"/>
        <x:color rgb="FFC00000"/>
        <x:rFont val="Arial"/>
      </x:rPr>
      <x:t xml:space="preserve">1–20</x:t>
    </x:r>
    <x:r>
      <x:rPr>
        <x:b/>
        <x:sz val="14"/>
        <x:color rgb="FFC00000"/>
        <x:rFont val="Noto Sans CJK SC"/>
        <x:family val="2"/>
      </x:rPr>
      <x:t xml:space="preserve">，練氣→元嬰）</x:t>
    </x:r>
  </x:si>
  <x:si>
    <x:t xml:space="preserve">等級</x:t>
  </x:si>
  <x:si>
    <x:t xml:space="preserve">大境界</x:t>
  </x:si>
  <x:si>
    <x:t xml:space="preserve">每級所需經驗</x:t>
  </x:si>
  <x:si>
    <x:t xml:space="preserve">累計經驗</x:t>
  </x:si>
  <x:si>
    <x:t xml:space="preserve">體力上限</x:t>
  </x:si>
  <x:si>
    <x:t xml:space="preserve">精力上限</x:t>
  </x:si>
  <x:si>
    <x:t xml:space="preserve">攻擊</x:t>
  </x:si>
  <x:si>
    <x:t xml:space="preserve">防禦</x:t>
  </x:si>
  <x:si>
    <x:t xml:space="preserve">可突破</x:t>
  </x:si>
  <x:si>
    <x:t xml:space="preserve">突破目標</x:t>
  </x:si>
  <x:si>
    <x:t xml:space="preserve">練氣期</x:t>
  </x:si>
  <x:si>
    <x:t xml:space="preserve">否</x:t>
  </x:si>
  <x:si>
    <x:t xml:space="preserve">凡人起步</x:t>
  </x:si>
  <x:si>
    <x:t xml:space="preserve">是</x:t>
  </x:si>
  <x:si>
    <x:t xml:space="preserve">築基期</x:t>
  </x:si>
  <x:si>
    <x:t xml:space="preserve">可嘗試突破築基期</x:t>
  </x:si>
  <x:si>
    <x:t xml:space="preserve">結丹期</x:t>
  </x:si>
  <x:si>
    <x:t xml:space="preserve">可嘗試突破結丹期</x:t>
  </x:si>
  <x:si>
    <x:t xml:space="preserve">元嬰期</x:t>
  </x:si>
  <x:si>
    <x:t xml:space="preserve">可嘗試突破元嬰期</x:t>
  </x:si>
  <x:si>
    <x:t xml:space="preserve">元嬰封頂</x:t>
  </x:si>
  <x:si>
    <x:t xml:space="preserve">突破表</x:t>
  </x:si>
  <x:si>
    <x:r>
      <x:rPr>
        <x:i/>
        <x:sz val="11"/>
        <x:color rgb="FF808080"/>
        <x:rFont val="Noto Sans CJK SC"/>
        <x:family val="2"/>
      </x:rPr>
      <x:t xml:space="preserve">突破成功率 </x:t>
    </x:r>
    <x:r>
      <x:rPr>
        <x:i/>
        <x:sz val="11"/>
        <x:color rgb="FF808080"/>
        <x:rFont val="Arial"/>
      </x:rPr>
      <x:t xml:space="preserve">= </x:t>
    </x:r>
    <x:r>
      <x:rPr>
        <x:i/>
        <x:sz val="11"/>
        <x:color rgb="FF808080"/>
        <x:rFont val="Noto Sans CJK SC"/>
        <x:family val="2"/>
      </x:rPr>
      <x:t xml:space="preserve">基礎率 </x:t>
    </x:r>
    <x:r>
      <x:rPr>
        <x:i/>
        <x:sz val="11"/>
        <x:color rgb="FF808080"/>
        <x:rFont val="Arial"/>
      </x:rPr>
      <x:t xml:space="preserve">+ </x:t>
    </x:r>
    <x:r>
      <x:rPr>
        <x:i/>
        <x:sz val="11"/>
        <x:color rgb="FF808080"/>
        <x:rFont val="Noto Sans CJK SC"/>
        <x:family val="2"/>
      </x:rPr>
      <x:t xml:space="preserve">已吃突破丹累積增益 </x:t>
    </x:r>
    <x:r>
      <x:rPr>
        <x:i/>
        <x:sz val="11"/>
        <x:color rgb="FF808080"/>
        <x:rFont val="Arial"/>
      </x:rPr>
      <x:t xml:space="preserve">+ </x:t>
    </x:r>
    <x:r>
      <x:rPr>
        <x:i/>
        <x:sz val="11"/>
        <x:color rgb="FF808080"/>
        <x:rFont val="Noto Sans CJK SC"/>
        <x:family val="2"/>
      </x:rPr>
      <x:t xml:space="preserve">所在區域『突破加成</x:t>
    </x:r>
    <x:r>
      <x:rPr>
        <x:i/>
        <x:sz val="11"/>
        <x:color rgb="FF808080"/>
        <x:rFont val="Arial"/>
      </x:rPr>
      <x:t xml:space="preserve">%</x:t>
    </x:r>
    <x:r>
      <x:rPr>
        <x:i/>
        <x:sz val="11"/>
        <x:color rgb="FF808080"/>
        <x:rFont val="Noto Sans CJK SC"/>
        <x:family val="2"/>
      </x:rPr>
      <x:t xml:space="preserve">』。突破丹永久累積、不重置。新手村內不可突破，須離開。</x:t>
    </x:r>
  </x:si>
  <x:si>
    <x:t xml:space="preserve">【基礎成功率】</x:t>
  </x:si>
  <x:si>
    <x:t xml:space="preserve">突破階段</x:t>
  </x:si>
  <x:si>
    <x:t xml:space="preserve">觸發等級</x:t>
  </x:si>
  <x:si>
    <x:t xml:space="preserve">目標境界</x:t>
  </x:si>
  <x:si>
    <x:t xml:space="preserve">基礎成功率</x:t>
  </x:si>
  <x:si>
    <x:t xml:space="preserve">失敗懲罰</x:t>
  </x:si>
  <x:si>
    <x:t xml:space="preserve">練氣→築基</x:t>
  </x:si>
  <x:si>
    <x:r>
      <x:rPr>
        <x:sz val="11"/>
        <x:color rgb="FF000000"/>
        <x:rFont val="Noto Sans CJK SC"/>
        <x:family val="2"/>
      </x:rPr>
      <x:t xml:space="preserve">停留</x:t>
    </x:r>
    <x:r>
      <x:rPr>
        <x:sz val="11"/>
        <x:color rgb="FF000000"/>
        <x:rFont val="Arial"/>
      </x:rPr>
      <x:t xml:space="preserve">Lv5</x:t>
    </x:r>
    <x:r>
      <x:rPr>
        <x:sz val="11"/>
        <x:color rgb="FF000000"/>
        <x:rFont val="Noto Sans CJK SC"/>
        <x:family val="2"/>
      </x:rPr>
      <x:t xml:space="preserve">，獲『走火入魔』</x:t>
    </x:r>
    <x:r>
      <x:rPr>
        <x:sz val="11"/>
        <x:color rgb="FF000000"/>
        <x:rFont val="Arial"/>
      </x:rPr>
      <x:t xml:space="preserve">debuff</x:t>
    </x:r>
  </x:si>
  <x:si>
    <x:t xml:space="preserve">築基→結丹</x:t>
  </x:si>
  <x:si>
    <x:r>
      <x:rPr>
        <x:sz val="11"/>
        <x:color rgb="FF000000"/>
        <x:rFont val="Noto Sans CJK SC"/>
        <x:family val="2"/>
      </x:rPr>
      <x:t xml:space="preserve">停留</x:t>
    </x:r>
    <x:r>
      <x:rPr>
        <x:sz val="11"/>
        <x:color rgb="FF000000"/>
        <x:rFont val="Arial"/>
      </x:rPr>
      <x:t xml:space="preserve">Lv10</x:t>
    </x:r>
    <x:r>
      <x:rPr>
        <x:sz val="11"/>
        <x:color rgb="FF000000"/>
        <x:rFont val="Noto Sans CJK SC"/>
        <x:family val="2"/>
      </x:rPr>
      <x:t xml:space="preserve">，走火入魔</x:t>
    </x:r>
  </x:si>
  <x:si>
    <x:t xml:space="preserve">結丹→元嬰</x:t>
  </x:si>
  <x:si>
    <x:r>
      <x:rPr>
        <x:sz val="11"/>
        <x:color rgb="FF000000"/>
        <x:rFont val="Noto Sans CJK SC"/>
        <x:family val="2"/>
      </x:rPr>
      <x:t xml:space="preserve">停留</x:t>
    </x:r>
    <x:r>
      <x:rPr>
        <x:sz val="11"/>
        <x:color rgb="FF000000"/>
        <x:rFont val="Arial"/>
      </x:rPr>
      <x:t xml:space="preserve">Lv15</x:t>
    </x:r>
    <x:r>
      <x:rPr>
        <x:sz val="11"/>
        <x:color rgb="FF000000"/>
        <x:rFont val="Noto Sans CJK SC"/>
        <x:family val="2"/>
      </x:rPr>
      <x:t xml:space="preserve">，走火入魔</x:t>
    </x:r>
  </x:si>
  <x:si>
    <x:t xml:space="preserve">【突破丹（永久累積、不重置）】</x:t>
  </x:si>
  <x:si>
    <x:r>
      <x:rPr>
        <x:b/>
        <x:sz val="11"/>
        <x:color rgb="FFFFFFFF"/>
        <x:rFont val="Noto Sans CJK SC"/>
        <x:family val="2"/>
      </x:rPr>
      <x:t xml:space="preserve">突破丹</x:t>
    </x:r>
    <x:r>
      <x:rPr>
        <x:b/>
        <x:sz val="11"/>
        <x:color rgb="FFFFFFFF"/>
        <x:rFont val="Arial"/>
      </x:rPr>
      <x:t xml:space="preserve">item_id</x:t>
    </x:r>
  </x:si>
  <x:si>
    <x:t xml:space="preserve">名稱</x:t>
  </x:si>
  <x:si>
    <x:t xml:space="preserve">適用突破階段</x:t>
  </x:si>
  <x:si>
    <x:t xml:space="preserve">每顆增益</x:t>
  </x:si>
  <x:si>
    <x:t xml:space="preserve">備註</x:t>
  </x:si>
  <x:si>
    <x:t xml:space="preserve">築基丹</x:t>
  </x:si>
  <x:si>
    <x:t xml:space="preserve">對應原述『結基丹』</x:t>
  </x:si>
  <x:si>
    <x:t xml:space="preserve">聚金丹</x:t>
  </x:si>
  <x:si>
    <x:t xml:space="preserve">結陽丹</x:t>
  </x:si>
  <x:si>
    <x:t xml:space="preserve">與聚金丹可同時累積</x:t>
  </x:si>
  <x:si>
    <x:t xml:space="preserve">護脈丹</x:t>
  </x:si>
  <x:si>
    <x:t xml:space="preserve">凝嬰丹</x:t>
  </x:si>
  <x:si>
    <x:t xml:space="preserve">與護脈丹可同時累積</x:t>
  </x:si>
  <x:si>
    <x:r>
      <x:rPr>
        <x:b/>
        <x:sz val="14"/>
        <x:color rgb="FFC00000"/>
        <x:rFont val="Noto Sans CJK SC"/>
        <x:family val="2"/>
      </x:rPr>
      <x:t xml:space="preserve">境界能力表（移動</x:t>
    </x:r>
    <x:r>
      <x:rPr>
        <x:b/>
        <x:sz val="14"/>
        <x:color rgb="FFC00000"/>
        <x:rFont val="Arial"/>
      </x:rPr>
      <x:t xml:space="preserve">/</x:t>
    </x:r>
    <x:r>
      <x:rPr>
        <x:b/>
        <x:sz val="14"/>
        <x:color rgb="FFC00000"/>
        <x:rFont val="Noto Sans CJK SC"/>
        <x:family val="2"/>
      </x:rPr>
      <x:t xml:space="preserve">壽元</x:t>
    </x:r>
    <x:r>
      <x:rPr>
        <x:b/>
        <x:sz val="14"/>
        <x:color rgb="FFC00000"/>
        <x:rFont val="Arial"/>
      </x:rPr>
      <x:t xml:space="preserve">/</x:t>
    </x:r>
    <x:r>
      <x:rPr>
        <x:b/>
        <x:sz val="14"/>
        <x:color rgb="FFC00000"/>
        <x:rFont val="Noto Sans CJK SC"/>
        <x:family val="2"/>
      </x:rPr>
      <x:t xml:space="preserve">神識</x:t>
    </x:r>
    <x:r>
      <x:rPr>
        <x:b/>
        <x:sz val="14"/>
        <x:color rgb="FFC00000"/>
        <x:rFont val="Arial"/>
      </x:rPr>
      <x:t xml:space="preserve">/</x:t>
    </x:r>
    <x:r>
      <x:rPr>
        <x:b/>
        <x:sz val="14"/>
        <x:color rgb="FFC00000"/>
        <x:rFont val="Noto Sans CJK SC"/>
        <x:family val="2"/>
      </x:rPr>
      <x:t xml:space="preserve">伏擊，按大境界）</x:t>
    </x:r>
  </x:si>
  <x:si>
    <x:r>
      <x:rPr>
        <x:i/>
        <x:sz val="11"/>
        <x:color rgb="FF808080"/>
        <x:rFont val="Noto Sans CJK SC"/>
        <x:family val="2"/>
      </x:rPr>
      <x:t xml:space="preserve">移動格數＝一次可移動</x:t>
    </x:r>
    <x:r>
      <x:rPr>
        <x:i/>
        <x:sz val="11"/>
        <x:color rgb="FF808080"/>
        <x:rFont val="Arial"/>
      </x:rPr>
      <x:t xml:space="preserve">/</x:t>
    </x:r>
    <x:r>
      <x:rPr>
        <x:i/>
        <x:sz val="11"/>
        <x:color rgb="FF808080"/>
        <x:rFont val="Noto Sans CJK SC"/>
        <x:family val="2"/>
      </x:rPr>
      <x:t xml:space="preserve">逃跑格數。壽元為該境界續命天數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真實時間，離線亦老化</x:t>
    </x:r>
    <x:r>
      <x:rPr>
        <x:i/>
        <x:sz val="11"/>
        <x:color rgb="FF808080"/>
        <x:rFont val="Arial"/>
      </x:rPr>
      <x:t xml:space="preserve">)</x:t>
    </x:r>
    <x:r>
      <x:rPr>
        <x:i/>
        <x:sz val="11"/>
        <x:color rgb="FF808080"/>
        <x:rFont val="Noto Sans CJK SC"/>
        <x:family val="2"/>
      </x:rPr>
      <x:t xml:space="preserve">。發現機率＝神識偵測他人。逃跑削減＝作為追擊方，用神識砍掉對方可逃格數的比例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分母，</x:t>
    </x:r>
    <x:r>
      <x:rPr>
        <x:i/>
        <x:sz val="11"/>
        <x:color rgb="FF808080"/>
        <x:rFont val="Arial"/>
      </x:rPr>
      <x:t xml:space="preserve">2=</x:t>
    </x:r>
    <x:r>
      <x:rPr>
        <x:i/>
        <x:sz val="11"/>
        <x:color rgb="FF808080"/>
        <x:rFont val="Noto Sans CJK SC"/>
        <x:family val="2"/>
      </x:rPr>
      <x:t xml:space="preserve">砍</x:t>
    </x:r>
    <x:r>
      <x:rPr>
        <x:i/>
        <x:sz val="11"/>
        <x:color rgb="FF808080"/>
        <x:rFont val="Arial"/>
      </x:rPr>
      <x:t xml:space="preserve">1/2)</x:t>
    </x:r>
    <x:r>
      <x:rPr>
        <x:i/>
        <x:sz val="11"/>
        <x:color rgb="FF808080"/>
        <x:rFont val="Noto Sans CJK SC"/>
        <x:family val="2"/>
      </x:rPr>
      <x:t xml:space="preserve">。</x:t>
    </x:r>
  </x:si>
  <x:si>
    <x:t xml:space="preserve">移動格數</x:t>
  </x:si>
  <x:si>
    <x:r>
      <x:rPr>
        <x:b/>
        <x:sz val="11"/>
        <x:color rgb="FFFFFFFF"/>
        <x:rFont val="Noto Sans CJK SC"/>
        <x:family val="2"/>
      </x:rPr>
      <x:t xml:space="preserve">本境界續命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天</x:t>
    </x:r>
    <x:r>
      <x:rPr>
        <x:b/>
        <x:sz val="11"/>
        <x:color rgb="FFFFFFFF"/>
        <x:rFont val="Arial"/>
      </x:rPr>
      <x:t xml:space="preserve">)</x:t>
    </x:r>
  </x:si>
  <x:si>
    <x:r>
      <x:rPr>
        <x:b/>
        <x:sz val="11"/>
        <x:color rgb="FFFFFFFF"/>
        <x:rFont val="Noto Sans CJK SC"/>
        <x:family val="2"/>
      </x:rPr>
      <x:t xml:space="preserve">累計壽元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天</x:t>
    </x:r>
    <x:r>
      <x:rPr>
        <x:b/>
        <x:sz val="11"/>
        <x:color rgb="FFFFFFFF"/>
        <x:rFont val="Arial"/>
      </x:rPr>
      <x:t xml:space="preserve">)</x:t>
    </x:r>
  </x:si>
  <x:si>
    <x:r>
      <x:rPr>
        <x:b/>
        <x:sz val="11"/>
        <x:color rgb="FFFFFFFF"/>
        <x:rFont val="Noto Sans CJK SC"/>
        <x:family val="2"/>
      </x:rPr>
      <x:t xml:space="preserve">發現</x:t>
    </x:r>
    <x:r>
      <x:rPr>
        <x:b/>
        <x:sz val="11"/>
        <x:color rgb="FFFFFFFF"/>
        <x:rFont val="Arial"/>
      </x:rPr>
      <x:t xml:space="preserve">_</x:t>
    </x:r>
    <x:r>
      <x:rPr>
        <x:b/>
        <x:sz val="11"/>
        <x:color rgb="FFFFFFFF"/>
        <x:rFont val="Noto Sans CJK SC"/>
        <x:family val="2"/>
      </x:rPr>
      <x:t xml:space="preserve">同格</x:t>
    </x:r>
    <x:r>
      <x:rPr>
        <x:b/>
        <x:sz val="11"/>
        <x:color rgb="FFFFFFFF"/>
        <x:rFont val="Arial"/>
      </x:rPr>
      <x:t xml:space="preserve">%</x:t>
    </x:r>
  </x:si>
  <x:si>
    <x:r>
      <x:rPr>
        <x:b/>
        <x:sz val="11"/>
        <x:color rgb="FFFFFFFF"/>
        <x:rFont val="Noto Sans CJK SC"/>
        <x:family val="2"/>
      </x:rPr>
      <x:t xml:space="preserve">發現</x:t>
    </x:r>
    <x:r>
      <x:rPr>
        <x:b/>
        <x:sz val="11"/>
        <x:color rgb="FFFFFFFF"/>
        <x:rFont val="Arial"/>
      </x:rPr>
      <x:t xml:space="preserve">_</x:t>
    </x:r>
    <x:r>
      <x:rPr>
        <x:b/>
        <x:sz val="11"/>
        <x:color rgb="FFFFFFFF"/>
        <x:rFont val="Noto Sans CJK SC"/>
        <x:family val="2"/>
      </x:rPr>
      <x:t xml:space="preserve">周邊</x:t>
    </x:r>
    <x:r>
      <x:rPr>
        <x:b/>
        <x:sz val="11"/>
        <x:color rgb="FFFFFFFF"/>
        <x:rFont val="Arial"/>
      </x:rPr>
      <x:t xml:space="preserve">1</x:t>
    </x:r>
    <x:r>
      <x:rPr>
        <x:b/>
        <x:sz val="11"/>
        <x:color rgb="FFFFFFFF"/>
        <x:rFont val="Noto Sans CJK SC"/>
        <x:family val="2"/>
      </x:rPr>
      <x:t xml:space="preserve">格</x:t>
    </x:r>
    <x:r>
      <x:rPr>
        <x:b/>
        <x:sz val="11"/>
        <x:color rgb="FFFFFFFF"/>
        <x:rFont val="Arial"/>
      </x:rPr>
      <x:t xml:space="preserve">%</x:t>
    </x:r>
  </x:si>
  <x:si>
    <x:r>
      <x:rPr>
        <x:b/>
        <x:sz val="11"/>
        <x:color rgb="FFFFFFFF"/>
        <x:rFont val="Noto Sans CJK SC"/>
        <x:family val="2"/>
      </x:rPr>
      <x:t xml:space="preserve">發現</x:t>
    </x:r>
    <x:r>
      <x:rPr>
        <x:b/>
        <x:sz val="11"/>
        <x:color rgb="FFFFFFFF"/>
        <x:rFont val="Arial"/>
      </x:rPr>
      <x:t xml:space="preserve">_</x:t>
    </x:r>
    <x:r>
      <x:rPr>
        <x:b/>
        <x:sz val="11"/>
        <x:color rgb="FFFFFFFF"/>
        <x:rFont val="Noto Sans CJK SC"/>
        <x:family val="2"/>
      </x:rPr>
      <x:t xml:space="preserve">周邊</x:t>
    </x:r>
    <x:r>
      <x:rPr>
        <x:b/>
        <x:sz val="11"/>
        <x:color rgb="FFFFFFFF"/>
        <x:rFont val="Arial"/>
      </x:rPr>
      <x:t xml:space="preserve">2</x:t>
    </x:r>
    <x:r>
      <x:rPr>
        <x:b/>
        <x:sz val="11"/>
        <x:color rgb="FFFFFFFF"/>
        <x:rFont val="Noto Sans CJK SC"/>
        <x:family val="2"/>
      </x:rPr>
      <x:t xml:space="preserve">格</x:t>
    </x:r>
    <x:r>
      <x:rPr>
        <x:b/>
        <x:sz val="11"/>
        <x:color rgb="FFFFFFFF"/>
        <x:rFont val="Arial"/>
      </x:rPr>
      <x:t xml:space="preserve">%</x:t>
    </x:r>
  </x:si>
  <x:si>
    <x:r>
      <x:rPr>
        <x:b/>
        <x:sz val="11"/>
        <x:color rgb="FFFFFFFF"/>
        <x:rFont val="Noto Sans CJK SC"/>
        <x:family val="2"/>
      </x:rPr>
      <x:t xml:space="preserve">伏擊識破</x:t>
    </x:r>
    <x:r>
      <x:rPr>
        <x:b/>
        <x:sz val="11"/>
        <x:color rgb="FFFFFFFF"/>
        <x:rFont val="Arial"/>
      </x:rPr>
      <x:t xml:space="preserve">%</x:t>
    </x:r>
  </x:si>
  <x:si>
    <x:r>
      <x:rPr>
        <x:b/>
        <x:sz val="11"/>
        <x:color rgb="FFFFFFFF"/>
        <x:rFont val="Noto Sans CJK SC"/>
        <x:family val="2"/>
      </x:rPr>
      <x:t xml:space="preserve">逃跑神識削減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分母</x:t>
    </x:r>
    <x:r>
      <x:rPr>
        <x:b/>
        <x:sz val="11"/>
        <x:color rgb="FFFFFFFF"/>
        <x:rFont val="Arial"/>
      </x:rPr>
      <x:t xml:space="preserve">)</x:t>
    </x:r>
  </x:si>
  <x:si>
    <x:t xml:space="preserve">僅同格可察</x:t>
  </x:si>
  <x:si>
    <x:t xml:space="preserve">目前封頂</x:t>
  </x:si>
  <x:si>
    <x:t xml:space="preserve">物品表</x:t>
  </x:si>
  <x:si>
    <x:t xml:space="preserve">item_id</x:t>
  </x:si>
  <x:si>
    <x:t xml:space="preserve">類別</x:t>
  </x:si>
  <x:si>
    <x:t xml:space="preserve">效果類型</x:t>
  </x:si>
  <x:si>
    <x:t xml:space="preserve">效果數值</x:t>
  </x:si>
  <x:si>
    <x:t xml:space="preserve">堆疊上限</x:t>
  </x:si>
  <x:si>
    <x:t xml:space="preserve">可合成</x:t>
  </x:si>
  <x:si>
    <x:t xml:space="preserve">稀有度</x:t>
  </x:si>
  <x:si>
    <x:r>
      <x:rPr>
        <x:b/>
        <x:sz val="11"/>
        <x:color rgb="FFFFFFFF"/>
        <x:rFont val="Noto Sans CJK SC"/>
        <x:family val="2"/>
      </x:rPr>
      <x:t xml:space="preserve">類型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顯示</x:t>
    </x:r>
    <x:r>
      <x:rPr>
        <x:b/>
        <x:sz val="11"/>
        <x:color rgb="FFFFFFFF"/>
        <x:rFont val="Arial"/>
      </x:rPr>
      <x:t xml:space="preserve">)</x:t>
    </x:r>
  </x:si>
  <x:si>
    <x:t xml:space="preserve">回體丹</x:t>
  </x:si>
  <x:si>
    <x:t xml:space="preserve">丹藥</x:t>
  </x:si>
  <x:si>
    <x:t xml:space="preserve">體力回復</x:t>
  </x:si>
  <x:si>
    <x:t xml:space="preserve">凡</x:t>
  </x:si>
  <x:si>
    <x:r>
      <x:rPr>
        <x:sz val="11"/>
        <x:color rgb="FF000000"/>
        <x:rFont val="Noto Sans CJK SC"/>
        <x:family val="2"/>
      </x:rPr>
      <x:t xml:space="preserve">回體力</x:t>
    </x:r>
    <x:r>
      <x:rPr>
        <x:sz val="11"/>
        <x:color rgb="FF000000"/>
        <x:rFont val="Arial"/>
      </x:rPr>
      <x:t xml:space="preserve">20</x:t>
    </x:r>
    <x:r>
      <x:rPr>
        <x:sz val="11"/>
        <x:color rgb="FF000000"/>
        <x:rFont val="Noto Sans CJK SC"/>
        <x:family val="2"/>
      </x:rPr>
      <x:t xml:space="preserve">（對應原作麵包；</x:t>
    </x:r>
    <x:r>
      <x:rPr>
        <x:sz val="11"/>
        <x:color rgb="FF000000"/>
        <x:rFont val="Arial"/>
      </x:rPr>
      <x:t xml:space="preserve">NPC</x:t>
    </x:r>
    <x:r>
      <x:rPr>
        <x:sz val="11"/>
        <x:color rgb="FF000000"/>
        <x:rFont val="Noto Sans CJK SC"/>
        <x:family val="2"/>
      </x:rPr>
      <x:t xml:space="preserve">有售）</x:t>
    </x:r>
  </x:si>
  <x:si>
    <x:t xml:space="preserve">回精丹</x:t>
  </x:si>
  <x:si>
    <x:t xml:space="preserve">精力回復</x:t>
  </x:si>
  <x:si>
    <x:r>
      <x:rPr>
        <x:sz val="11"/>
        <x:color rgb="FF000000"/>
        <x:rFont val="Noto Sans CJK SC"/>
        <x:family val="2"/>
      </x:rPr>
      <x:t xml:space="preserve">回精力</x:t>
    </x:r>
    <x:r>
      <x:rPr>
        <x:sz val="11"/>
        <x:color rgb="FF000000"/>
        <x:rFont val="Arial"/>
      </x:rPr>
      <x:t xml:space="preserve">20</x:t>
    </x:r>
    <x:r>
      <x:rPr>
        <x:sz val="11"/>
        <x:color rgb="FF000000"/>
        <x:rFont val="Noto Sans CJK SC"/>
        <x:family val="2"/>
      </x:rPr>
      <x:t xml:space="preserve">（對應原作水；</x:t>
    </x:r>
    <x:r>
      <x:rPr>
        <x:sz val="11"/>
        <x:color rgb="FF000000"/>
        <x:rFont val="Arial"/>
      </x:rPr>
      <x:t xml:space="preserve">NPC</x:t>
    </x:r>
    <x:r>
      <x:rPr>
        <x:sz val="11"/>
        <x:color rgb="FF000000"/>
        <x:rFont val="Noto Sans CJK SC"/>
        <x:family val="2"/>
      </x:rPr>
      <x:t xml:space="preserve">有售）</x:t>
    </x:r>
  </x:si>
  <x:si>
    <x:t xml:space="preserve">中品培元丹</x:t>
  </x:si>
  <x:si>
    <x:t xml:space="preserve">下</x:t>
  </x:si>
  <x:si>
    <x:r>
      <x:rPr>
        <x:sz val="11"/>
        <x:color rgb="FF000000"/>
        <x:rFont val="Noto Sans CJK SC"/>
        <x:family val="2"/>
      </x:rPr>
      <x:t xml:space="preserve">回體力</x:t>
    </x:r>
    <x:r>
      <x:rPr>
        <x:sz val="11"/>
        <x:color rgb="FF000000"/>
        <x:rFont val="Arial"/>
      </x:rPr>
      <x:t xml:space="preserve">120</x:t>
    </x:r>
  </x:si>
  <x:si>
    <x:t xml:space="preserve">聚靈丹</x:t>
  </x:si>
  <x:si>
    <x:r>
      <x:rPr>
        <x:sz val="11"/>
        <x:color rgb="FF000000"/>
        <x:rFont val="Noto Sans CJK SC"/>
        <x:family val="2"/>
      </x:rPr>
      <x:t xml:space="preserve">回精力</x:t>
    </x:r>
    <x:r>
      <x:rPr>
        <x:sz val="11"/>
        <x:color rgb="FF000000"/>
        <x:rFont val="Arial"/>
      </x:rPr>
      <x:t xml:space="preserve">120</x:t>
    </x:r>
  </x:si>
  <x:si>
    <x:t xml:space="preserve">金瘡藥</x:t>
  </x:si>
  <x:si>
    <x:t xml:space="preserve">療傷</x:t>
  </x:si>
  <x:si>
    <x:t xml:space="preserve">療癒一個受傷部位</x:t>
  </x:si>
  <x:si>
    <x:t xml:space="preserve">長劍</x:t>
  </x:si>
  <x:si>
    <x:t xml:space="preserve">法器</x:t>
  </x:si>
  <x:si>
    <x:r>
      <x:rPr>
        <x:sz val="11"/>
        <x:color rgb="FF000000"/>
        <x:rFont val="Noto Sans CJK SC"/>
        <x:family val="2"/>
      </x:rPr>
      <x:t xml:space="preserve">近戰武器；無限次數使用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見武器類型表</x:t>
    </x:r>
    <x:r>
      <x:rPr>
        <x:sz val="11"/>
        <x:color rgb="FF000000"/>
        <x:rFont val="Arial"/>
      </x:rPr>
      <x:t xml:space="preserve">)</x:t>
    </x:r>
  </x:si>
  <x:si>
    <x:t xml:space="preserve">飛劍</x:t>
  </x:si>
  <x:si>
    <x:r>
      <x:rPr>
        <x:sz val="11"/>
        <x:color rgb="FF000000"/>
        <x:rFont val="Noto Sans CJK SC"/>
        <x:family val="2"/>
      </x:rPr>
      <x:t xml:space="preserve">禦劍遠程；攻擊</x:t>
    </x:r>
    <x:r>
      <x:rPr>
        <x:sz val="11"/>
        <x:color rgb="FF000000"/>
        <x:rFont val="Arial"/>
      </x:rPr>
      <x:t xml:space="preserve">×1.5</x:t>
    </x:r>
    <x:r>
      <x:rPr>
        <x:sz val="11"/>
        <x:color rgb="FF000000"/>
        <x:rFont val="Noto Sans CJK SC"/>
        <x:family val="2"/>
      </x:rPr>
      <x:t xml:space="preserve">但會損壞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見武器類型表</x:t>
    </x:r>
    <x:r>
      <x:rPr>
        <x:sz val="11"/>
        <x:color rgb="FF000000"/>
        <x:rFont val="Arial"/>
      </x:rPr>
      <x:t xml:space="preserve">)</x:t>
    </x:r>
  </x:si>
  <x:si>
    <x:t xml:space="preserve">傳訊玉符</x:t>
  </x:si>
  <x:si>
    <x:t xml:space="preserve">投擲</x:t>
  </x:si>
  <x:si>
    <x:r>
      <x:rPr>
        <x:sz val="11"/>
        <x:color rgb="FF000000"/>
        <x:rFont val="Noto Sans CJK SC"/>
        <x:family val="2"/>
      </x:rPr>
      <x:t xml:space="preserve">投擲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傳訊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對應行動電話</x:t>
    </x:r>
    <x:r>
      <x:rPr>
        <x:sz val="11"/>
        <x:color rgb="FF000000"/>
        <x:rFont val="Arial"/>
      </x:rPr>
      <x:t xml:space="preserve">)</x:t>
    </x:r>
  </x:si>
  <x:si>
    <x:t xml:space="preserve">護體法袍</x:t>
  </x:si>
  <x:si>
    <x:t xml:space="preserve">防具</x:t>
  </x:si>
  <x:si>
    <x:r>
      <x:rPr>
        <x:sz val="11"/>
        <x:color rgb="FF000000"/>
        <x:rFont val="Noto Sans CJK SC"/>
        <x:family val="2"/>
      </x:rPr>
      <x:t xml:space="preserve">減傷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對應強化裝甲</x:t>
    </x:r>
    <x:r>
      <x:rPr>
        <x:sz val="11"/>
        <x:color rgb="FF000000"/>
        <x:rFont val="Arial"/>
      </x:rPr>
      <x:t xml:space="preserve">)</x:t>
    </x:r>
  </x:si>
  <x:si>
    <x:t xml:space="preserve">法袍</x:t>
  </x:si>
  <x:si>
    <x:t xml:space="preserve">玄龜甲</x:t>
  </x:si>
  <x:si>
    <x:t xml:space="preserve">高減傷</x:t>
  </x:si>
  <x:si>
    <x:t xml:space="preserve">重甲</x:t>
  </x:si>
  <x:si>
    <x:t xml:space="preserve">靈草</x:t>
  </x:si>
  <x:si>
    <x:t xml:space="preserve">材料</x:t>
  </x:si>
  <x:si>
    <x:t xml:space="preserve">合成材料</x:t>
  </x:si>
  <x:si>
    <x:t xml:space="preserve">煉丹基礎材料</x:t>
  </x:si>
  <x:si>
    <x:t xml:space="preserve">精鐵</x:t>
  </x:si>
  <x:si>
    <x:t xml:space="preserve">煉器基礎材料</x:t>
  </x:si>
  <x:si>
    <x:t xml:space="preserve">妖丹</x:t>
  </x:si>
  <x:si>
    <x:t xml:space="preserve">擊敗妖獸掉落</x:t>
  </x:si>
  <x:si>
    <x:t xml:space="preserve">玄冰石</x:t>
  </x:si>
  <x:si>
    <x:t xml:space="preserve">冰系法器材料</x:t>
  </x:si>
  <x:si>
    <x:t xml:space="preserve">斂息珠</x:t>
  </x:si>
  <x:si>
    <x:t xml:space="preserve">特殊</x:t>
  </x:si>
  <x:si>
    <x:t xml:space="preserve">遮蔽氣息</x:t>
  </x:si>
  <x:si>
    <x:t xml:space="preserve">中</x:t>
  </x:si>
  <x:si>
    <x:t xml:space="preserve">突破時遮住動靜，暴露秒數歸零</x:t>
  </x:si>
  <x:si>
    <x:t xml:space="preserve">匿蹤符</x:t>
  </x:si>
  <x:si>
    <x:t xml:space="preserve">符籙</x:t>
  </x:si>
  <x:si>
    <x:t xml:space="preserve">短時間隱匿座標</x:t>
  </x:si>
  <x:si>
    <x:t xml:space="preserve">奪舍陣盤</x:t>
  </x:si>
  <x:si>
    <x:t xml:space="preserve">奪舍</x:t>
  </x:si>
  <x:si>
    <x:t xml:space="preserve">上</x:t>
  </x:si>
  <x:si>
    <x:r>
      <x:rPr>
        <x:sz val="11"/>
        <x:color rgb="FF000000"/>
        <x:rFont val="Noto Sans CJK SC"/>
        <x:family val="2"/>
      </x:rPr>
      <x:t xml:space="preserve">死亡時嘗試奪舍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修仙深化用</x:t>
    </x:r>
    <x:r>
      <x:rPr>
        <x:sz val="11"/>
        <x:color rgb="FF000000"/>
        <x:rFont val="Arial"/>
      </x:rPr>
      <x:t xml:space="preserve">)</x:t>
    </x:r>
  </x:si>
  <x:si>
    <x:t xml:space="preserve">火雷符</x:t>
  </x:si>
  <x:si>
    <x:t xml:space="preserve">範圍傷害投擲物</x:t>
  </x:si>
  <x:si>
    <x:t xml:space="preserve">定身符</x:t>
  </x:si>
  <x:si>
    <x:t xml:space="preserve">控制</x:t>
  </x:si>
  <x:si>
    <x:t xml:space="preserve">使目標無法逃跑一回合</x:t>
  </x:si>
  <x:si>
    <x:t xml:space="preserve">培元丹丹方</x:t>
  </x:si>
  <x:si>
    <x:t xml:space="preserve">丹方</x:t>
  </x:si>
  <x:si>
    <x:t xml:space="preserve">習得配方</x:t>
  </x:si>
  <x:si>
    <x:r>
      <x:rPr>
        <x:sz val="11"/>
        <x:color rgb="FF000000"/>
        <x:rFont val="Noto Sans CJK SC"/>
        <x:family val="2"/>
      </x:rPr>
      <x:t xml:space="preserve">探索取得；解鎖</x:t>
    </x:r>
    <x:r>
      <x:rPr>
        <x:sz val="11"/>
        <x:color rgb="FF000000"/>
        <x:rFont val="Arial"/>
      </x:rPr>
      <x:t xml:space="preserve">recipe 1</x:t>
    </x:r>
  </x:si>
  <x:si>
    <x:t xml:space="preserve">聚靈丹丹方</x:t>
  </x:si>
  <x:si>
    <x:r>
      <x:rPr>
        <x:sz val="11"/>
        <x:color rgb="FF000000"/>
        <x:rFont val="Noto Sans CJK SC"/>
        <x:family val="2"/>
      </x:rPr>
      <x:t xml:space="preserve">探索取得；解鎖</x:t>
    </x:r>
    <x:r>
      <x:rPr>
        <x:sz val="11"/>
        <x:color rgb="FF000000"/>
        <x:rFont val="Arial"/>
      </x:rPr>
      <x:t xml:space="preserve">recipe 2</x:t>
    </x:r>
  </x:si>
  <x:si>
    <x:t xml:space="preserve">驚鴻劍圖紙</x:t>
  </x:si>
  <x:si>
    <x:r>
      <x:rPr>
        <x:sz val="11"/>
        <x:color rgb="FF000000"/>
        <x:rFont val="Noto Sans CJK SC"/>
        <x:family val="2"/>
      </x:rPr>
      <x:t xml:space="preserve">探索取得；解鎖</x:t>
    </x:r>
    <x:r>
      <x:rPr>
        <x:sz val="11"/>
        <x:color rgb="FF000000"/>
        <x:rFont val="Arial"/>
      </x:rPr>
      <x:t xml:space="preserve">recipe 3</x:t>
    </x:r>
  </x:si>
  <x:si>
    <x:t xml:space="preserve">突破增益</x:t>
  </x:si>
  <x:si>
    <x:r>
      <x:rPr>
        <x:sz val="11"/>
        <x:color rgb="FF000000"/>
        <x:rFont val="Noto Sans CJK SC"/>
        <x:family val="2"/>
      </x:rPr>
      <x:t xml:space="preserve">練氣→築基突破</x:t>
    </x:r>
    <x:r>
      <x:rPr>
        <x:sz val="11"/>
        <x:color rgb="FF000000"/>
        <x:rFont val="Arial"/>
      </x:rPr>
      <x:t xml:space="preserve">+10%(</x:t>
    </x:r>
    <x:r>
      <x:rPr>
        <x:sz val="11"/>
        <x:color rgb="FF000000"/>
        <x:rFont val="Noto Sans CJK SC"/>
        <x:family val="2"/>
      </x:rPr>
      <x:t xml:space="preserve">永久可累積</x:t>
    </x:r>
    <x:r>
      <x:rPr>
        <x:sz val="11"/>
        <x:color rgb="FF000000"/>
        <x:rFont val="Arial"/>
      </x:rPr>
      <x:t xml:space="preserve">)</x:t>
    </x:r>
  </x:si>
  <x:si>
    <x:r>
      <x:rPr>
        <x:sz val="11"/>
        <x:color rgb="FF000000"/>
        <x:rFont val="Noto Sans CJK SC"/>
        <x:family val="2"/>
      </x:rPr>
      <x:t xml:space="preserve">築基→結丹突破</x:t>
    </x:r>
    <x:r>
      <x:rPr>
        <x:sz val="11"/>
        <x:color rgb="FF000000"/>
        <x:rFont val="Arial"/>
      </x:rPr>
      <x:t xml:space="preserve">+10%(</x:t>
    </x:r>
    <x:r>
      <x:rPr>
        <x:sz val="11"/>
        <x:color rgb="FF000000"/>
        <x:rFont val="Noto Sans CJK SC"/>
        <x:family val="2"/>
      </x:rPr>
      <x:t xml:space="preserve">永久可累積</x:t>
    </x:r>
    <x:r>
      <x:rPr>
        <x:sz val="11"/>
        <x:color rgb="FF000000"/>
        <x:rFont val="Arial"/>
      </x:rPr>
      <x:t xml:space="preserve">)</x:t>
    </x:r>
  </x:si>
  <x:si>
    <x:r>
      <x:rPr>
        <x:sz val="11"/>
        <x:color rgb="FF000000"/>
        <x:rFont val="Noto Sans CJK SC"/>
        <x:family val="2"/>
      </x:rPr>
      <x:t xml:space="preserve">築基→結丹突破</x:t>
    </x:r>
    <x:r>
      <x:rPr>
        <x:sz val="11"/>
        <x:color rgb="FF000000"/>
        <x:rFont val="Arial"/>
      </x:rPr>
      <x:t xml:space="preserve">+5%(</x:t>
    </x:r>
    <x:r>
      <x:rPr>
        <x:sz val="11"/>
        <x:color rgb="FF000000"/>
        <x:rFont val="Noto Sans CJK SC"/>
        <x:family val="2"/>
      </x:rPr>
      <x:t xml:space="preserve">永久可累積</x:t>
    </x:r>
    <x:r>
      <x:rPr>
        <x:sz val="11"/>
        <x:color rgb="FF000000"/>
        <x:rFont val="Arial"/>
      </x:rPr>
      <x:t xml:space="preserve">)</x:t>
    </x:r>
  </x:si>
  <x:si>
    <x:t xml:space="preserve">地</x:t>
  </x:si>
  <x:si>
    <x:r>
      <x:rPr>
        <x:sz val="11"/>
        <x:color rgb="FF000000"/>
        <x:rFont val="Noto Sans CJK SC"/>
        <x:family val="2"/>
      </x:rPr>
      <x:t xml:space="preserve">結丹→元嬰突破</x:t>
    </x:r>
    <x:r>
      <x:rPr>
        <x:sz val="11"/>
        <x:color rgb="FF000000"/>
        <x:rFont val="Arial"/>
      </x:rPr>
      <x:t xml:space="preserve">+5%(</x:t>
    </x:r>
    <x:r>
      <x:rPr>
        <x:sz val="11"/>
        <x:color rgb="FF000000"/>
        <x:rFont val="Noto Sans CJK SC"/>
        <x:family val="2"/>
      </x:rPr>
      <x:t xml:space="preserve">永久可累積</x:t>
    </x:r>
    <x:r>
      <x:rPr>
        <x:sz val="11"/>
        <x:color rgb="FF000000"/>
        <x:rFont val="Arial"/>
      </x:rPr>
      <x:t xml:space="preserve">)</x:t>
    </x:r>
  </x:si>
  <x:si>
    <x:t xml:space="preserve">天</x:t>
  </x:si>
  <x:si>
    <x:r>
      <x:rPr>
        <x:sz val="11"/>
        <x:color rgb="FF000000"/>
        <x:rFont val="Noto Sans CJK SC"/>
        <x:family val="2"/>
      </x:rPr>
      <x:t xml:space="preserve">結丹→元嬰突破</x:t>
    </x:r>
    <x:r>
      <x:rPr>
        <x:sz val="11"/>
        <x:color rgb="FF000000"/>
        <x:rFont val="Arial"/>
      </x:rPr>
      <x:t xml:space="preserve">+2.5%(</x:t>
    </x:r>
    <x:r>
      <x:rPr>
        <x:sz val="11"/>
        <x:color rgb="FF000000"/>
        <x:rFont val="Noto Sans CJK SC"/>
        <x:family val="2"/>
      </x:rPr>
      <x:t xml:space="preserve">永久可累積</x:t>
    </x:r>
    <x:r>
      <x:rPr>
        <x:sz val="11"/>
        <x:color rgb="FF000000"/>
        <x:rFont val="Arial"/>
      </x:rPr>
      <x:t xml:space="preserve">)</x:t>
    </x:r>
  </x:si>
  <x:si>
    <x:t xml:space="preserve">洞府鑿</x:t>
  </x:si>
  <x:si>
    <x:t xml:space="preserve">開洞府</x:t>
  </x:si>
  <x:si>
    <x:r>
      <x:rPr>
        <x:sz val="11"/>
        <x:color rgb="FF000000"/>
        <x:rFont val="Noto Sans CJK SC"/>
        <x:family val="2"/>
      </x:rPr>
      <x:t xml:space="preserve">於可開洞府之靈氣地開設洞府</x:t>
    </x:r>
    <x:r>
      <x:rPr>
        <x:sz val="11"/>
        <x:color rgb="FF000000"/>
        <x:rFont val="Arial"/>
      </x:rPr>
      <x:t xml:space="preserve">(NPC</x:t>
    </x:r>
    <x:r>
      <x:rPr>
        <x:sz val="11"/>
        <x:color rgb="FF000000"/>
        <x:rFont val="Noto Sans CJK SC"/>
        <x:family val="2"/>
      </x:rPr>
      <x:t xml:space="preserve">有售</x:t>
    </x:r>
    <x:r>
      <x:rPr>
        <x:sz val="11"/>
        <x:color rgb="FF000000"/>
        <x:rFont val="Arial"/>
      </x:rPr>
      <x:t xml:space="preserve">)</x:t>
    </x:r>
  </x:si>
  <x:si>
    <x:t xml:space="preserve">洞府陣盤</x:t>
  </x:si>
  <x:si>
    <x:t xml:space="preserve">洞府陣法</x:t>
  </x:si>
  <x:si>
    <x:r>
      <x:rPr>
        <x:sz val="11"/>
        <x:color rgb="FF000000"/>
        <x:rFont val="Noto Sans CJK SC"/>
        <x:family val="2"/>
      </x:rPr>
      <x:t xml:space="preserve">啟動洞府陣法，單盤有效</x:t>
    </x:r>
    <x:r>
      <x:rPr>
        <x:sz val="11"/>
        <x:color rgb="FF000000"/>
        <x:rFont val="Arial"/>
      </x:rPr>
      <x:t xml:space="preserve">84</x:t>
    </x:r>
    <x:r>
      <x:rPr>
        <x:sz val="11"/>
        <x:color rgb="FF000000"/>
        <x:rFont val="Noto Sans CJK SC"/>
        <x:family val="2"/>
      </x:rPr>
      <x:t xml:space="preserve">小時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靈石購買</x:t>
    </x:r>
    <x:r>
      <x:rPr>
        <x:sz val="11"/>
        <x:color rgb="FF000000"/>
        <x:rFont val="Arial"/>
      </x:rPr>
      <x:t xml:space="preserve">)</x:t>
    </x:r>
  </x:si>
  <x:si>
    <x:t xml:space="preserve">宗門大陣</x:t>
  </x:si>
  <x:si>
    <x:t xml:space="preserve">立宗</x:t>
  </x:si>
  <x:si>
    <x:r>
      <x:rPr>
        <x:sz val="11"/>
        <x:color rgb="FF000000"/>
        <x:rFont val="Noto Sans CJK SC"/>
        <x:family val="2"/>
      </x:rPr>
      <x:t xml:space="preserve">立宗信物；築基以上於選定地點成立宗門</x:t>
    </x:r>
    <x:r>
      <x:rPr>
        <x:sz val="11"/>
        <x:color rgb="FF000000"/>
        <x:rFont val="Arial"/>
      </x:rPr>
      <x:t xml:space="preserve">(NPC</x:t>
    </x:r>
    <x:r>
      <x:rPr>
        <x:sz val="11"/>
        <x:color rgb="FF000000"/>
        <x:rFont val="Noto Sans CJK SC"/>
        <x:family val="2"/>
      </x:rPr>
      <x:t xml:space="preserve">購買</x:t>
    </x:r>
    <x:r>
      <x:rPr>
        <x:sz val="11"/>
        <x:color rgb="FF000000"/>
        <x:rFont val="Arial"/>
      </x:rPr>
      <x:t xml:space="preserve">)</x:t>
    </x:r>
  </x:si>
  <x:si>
    <x:t xml:space="preserve">玄鐵甲</x:t>
  </x:si>
  <x:si>
    <x:r>
      <x:rPr>
        <x:sz val="11"/>
        <x:color rgb="FF000000"/>
        <x:rFont val="Noto Sans CJK SC"/>
        <x:family val="2"/>
      </x:rPr>
      <x:t xml:space="preserve">基礎防具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可附魔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強化</x:t>
    </x:r>
    <x:r>
      <x:rPr>
        <x:sz val="11"/>
        <x:color rgb="FF000000"/>
        <x:rFont val="Arial"/>
      </x:rPr>
      <x:t xml:space="preserve">)</x:t>
    </x:r>
  </x:si>
  <x:si>
    <x:t xml:space="preserve">長劍設計圖</x:t>
  </x:si>
  <x:si>
    <x:t xml:space="preserve">設計圖</x:t>
  </x:si>
  <x:si>
    <x:r>
      <x:rPr>
        <x:sz val="11"/>
        <x:color rgb="FF000000"/>
        <x:rFont val="Noto Sans CJK SC"/>
        <x:family val="2"/>
      </x:rPr>
      <x:t xml:space="preserve">合成長劍所需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消耗</x:t>
    </x:r>
    <x:r>
      <x:rPr>
        <x:sz val="11"/>
        <x:color rgb="FF000000"/>
        <x:rFont val="Arial"/>
      </x:rPr>
      <x:t xml:space="preserve">)</x:t>
    </x:r>
  </x:si>
  <x:si>
    <x:t xml:space="preserve">玄鐵甲設計圖</x:t>
  </x:si>
  <x:si>
    <x:r>
      <x:rPr>
        <x:sz val="11"/>
        <x:color rgb="FF000000"/>
        <x:rFont val="Noto Sans CJK SC"/>
        <x:family val="2"/>
      </x:rPr>
      <x:t xml:space="preserve">合成玄鐵甲所需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消耗</x:t>
    </x:r>
    <x:r>
      <x:rPr>
        <x:sz val="11"/>
        <x:color rgb="FF000000"/>
        <x:rFont val="Arial"/>
      </x:rPr>
      <x:t xml:space="preserve">)</x:t>
    </x:r>
  </x:si>
  <x:si>
    <x:t xml:space="preserve">飛劍設計圖</x:t>
  </x:si>
  <x:si>
    <x:r>
      <x:rPr>
        <x:sz val="11"/>
        <x:color rgb="FF000000"/>
        <x:rFont val="Noto Sans CJK SC"/>
        <x:family val="2"/>
      </x:rPr>
      <x:t xml:space="preserve">合成飛劍所需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消耗</x:t>
    </x:r>
    <x:r>
      <x:rPr>
        <x:sz val="11"/>
        <x:color rgb="FF000000"/>
        <x:rFont val="Arial"/>
      </x:rPr>
      <x:t xml:space="preserve">)</x:t>
    </x:r>
  </x:si>
  <x:si>
    <x:t xml:space="preserve">磨刀石</x:t>
  </x:si>
  <x:si>
    <x:t xml:space="preserve">修復材料</x:t>
  </x:si>
  <x:si>
    <x:t xml:space="preserve">修復</x:t>
  </x:si>
  <x:si>
    <x:r>
      <x:rPr>
        <x:sz val="11"/>
        <x:color rgb="FF000000"/>
        <x:rFont val="Noto Sans CJK SC"/>
        <x:family val="2"/>
      </x:rPr>
      <x:t xml:space="preserve">修復武器損壞</x:t>
    </x:r>
    <x:r>
      <x:rPr>
        <x:sz val="11"/>
        <x:color rgb="FF000000"/>
        <x:rFont val="Arial"/>
      </x:rPr>
      <x:t xml:space="preserve">1</x:t>
    </x:r>
    <x:r>
      <x:rPr>
        <x:sz val="11"/>
        <x:color rgb="FF000000"/>
        <x:rFont val="Noto Sans CJK SC"/>
        <x:family val="2"/>
      </x:rPr>
      <x:t xml:space="preserve">次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見耐久與損壞表</x:t>
    </x:r>
    <x:r>
      <x:rPr>
        <x:sz val="11"/>
        <x:color rgb="FF000000"/>
        <x:rFont val="Arial"/>
      </x:rPr>
      <x:t xml:space="preserve">)</x:t>
    </x:r>
  </x:si>
  <x:si>
    <x:t xml:space="preserve">護甲片</x:t>
  </x:si>
  <x:si>
    <x:r>
      <x:rPr>
        <x:sz val="11"/>
        <x:color rgb="FF000000"/>
        <x:rFont val="Noto Sans CJK SC"/>
        <x:family val="2"/>
      </x:rPr>
      <x:t xml:space="preserve">修復防具損壞</x:t>
    </x:r>
    <x:r>
      <x:rPr>
        <x:sz val="11"/>
        <x:color rgb="FF000000"/>
        <x:rFont val="Arial"/>
      </x:rPr>
      <x:t xml:space="preserve">1</x:t>
    </x:r>
    <x:r>
      <x:rPr>
        <x:sz val="11"/>
        <x:color rgb="FF000000"/>
        <x:rFont val="Noto Sans CJK SC"/>
        <x:family val="2"/>
      </x:rPr>
      <x:t xml:space="preserve">次</x:t>
    </x:r>
  </x:si>
  <x:si>
    <x:t xml:space="preserve">庚精</x:t>
  </x:si>
  <x:si>
    <x:t xml:space="preserve">強化石</x:t>
  </x:si>
  <x:si>
    <x:t xml:space="preserve">強化</x:t>
  </x:si>
  <x:si>
    <x:r>
      <x:rPr>
        <x:sz val="11"/>
        <x:color rgb="FF000000"/>
        <x:rFont val="Noto Sans CJK SC"/>
        <x:family val="2"/>
      </x:rPr>
      <x:t xml:space="preserve">強化武器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防具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見強化表</x:t>
    </x:r>
    <x:r>
      <x:rPr>
        <x:sz val="11"/>
        <x:color rgb="FF000000"/>
        <x:rFont val="Arial"/>
      </x:rPr>
      <x:t xml:space="preserve">)</x:t>
    </x:r>
  </x:si>
  <x:si>
    <x:t xml:space="preserve">鳳凰火羽</x:t>
  </x:si>
  <x:si>
    <x:t xml:space="preserve">附魔材料</x:t>
  </x:si>
  <x:si>
    <x:r>
      <x:rPr>
        <x:sz val="11"/>
        <x:color rgb="FF000000"/>
        <x:rFont val="Noto Sans CJK SC"/>
        <x:family val="2"/>
      </x:rPr>
      <x:t xml:space="preserve">火屬性附魔成功</x:t>
    </x:r>
    <x:r>
      <x:rPr>
        <x:sz val="11"/>
        <x:color rgb="FF000000"/>
        <x:rFont val="Arial"/>
      </x:rPr>
      <x:t xml:space="preserve">+30%</x:t>
    </x:r>
  </x:si>
  <x:si>
    <x:t xml:space="preserve">火精</x:t>
  </x:si>
  <x:si>
    <x:r>
      <x:rPr>
        <x:sz val="11"/>
        <x:color rgb="FF000000"/>
        <x:rFont val="Noto Sans CJK SC"/>
        <x:family val="2"/>
      </x:rPr>
      <x:t xml:space="preserve">火屬性附魔成功</x:t>
    </x:r>
    <x:r>
      <x:rPr>
        <x:sz val="11"/>
        <x:color rgb="FF000000"/>
        <x:rFont val="Arial"/>
      </x:rPr>
      <x:t xml:space="preserve">+15%(</x:t>
    </x:r>
    <x:r>
      <x:rPr>
        <x:sz val="11"/>
        <x:color rgb="FF000000"/>
        <x:rFont val="Noto Sans CJK SC"/>
        <x:family val="2"/>
      </x:rPr>
      <x:t xml:space="preserve">可疊加</x:t>
    </x:r>
    <x:r>
      <x:rPr>
        <x:sz val="11"/>
        <x:color rgb="FF000000"/>
        <x:rFont val="Arial"/>
      </x:rPr>
      <x:t xml:space="preserve">)</x:t>
    </x:r>
  </x:si>
  <x:si>
    <x:t xml:space="preserve">玄冰髓</x:t>
  </x:si>
  <x:si>
    <x:r>
      <x:rPr>
        <x:sz val="11"/>
        <x:color rgb="FF000000"/>
        <x:rFont val="Noto Sans CJK SC"/>
        <x:family val="2"/>
      </x:rPr>
      <x:t xml:space="preserve">冰屬性附魔成功</x:t>
    </x:r>
    <x:r>
      <x:rPr>
        <x:sz val="11"/>
        <x:color rgb="FF000000"/>
        <x:rFont val="Arial"/>
      </x:rPr>
      <x:t xml:space="preserve">+30%</x:t>
    </x:r>
  </x:si>
  <x:si>
    <x:t xml:space="preserve">冰精</x:t>
  </x:si>
  <x:si>
    <x:r>
      <x:rPr>
        <x:sz val="11"/>
        <x:color rgb="FF000000"/>
        <x:rFont val="Noto Sans CJK SC"/>
        <x:family val="2"/>
      </x:rPr>
      <x:t xml:space="preserve">冰屬性附魔成功</x:t>
    </x:r>
    <x:r>
      <x:rPr>
        <x:sz val="11"/>
        <x:color rgb="FF000000"/>
        <x:rFont val="Arial"/>
      </x:rPr>
      <x:t xml:space="preserve">+15%(</x:t>
    </x:r>
    <x:r>
      <x:rPr>
        <x:sz val="11"/>
        <x:color rgb="FF000000"/>
        <x:rFont val="Noto Sans CJK SC"/>
        <x:family val="2"/>
      </x:rPr>
      <x:t xml:space="preserve">可疊加</x:t>
    </x:r>
    <x:r>
      <x:rPr>
        <x:sz val="11"/>
        <x:color rgb="FF000000"/>
        <x:rFont val="Arial"/>
      </x:rPr>
      <x:t xml:space="preserve">)</x:t>
    </x:r>
  </x:si>
  <x:si>
    <x:t xml:space="preserve">紫雷角</x:t>
  </x:si>
  <x:si>
    <x:r>
      <x:rPr>
        <x:sz val="11"/>
        <x:color rgb="FF000000"/>
        <x:rFont val="Noto Sans CJK SC"/>
        <x:family val="2"/>
      </x:rPr>
      <x:t xml:space="preserve">雷屬性附魔成功</x:t>
    </x:r>
    <x:r>
      <x:rPr>
        <x:sz val="11"/>
        <x:color rgb="FF000000"/>
        <x:rFont val="Arial"/>
      </x:rPr>
      <x:t xml:space="preserve">+30%</x:t>
    </x:r>
  </x:si>
  <x:si>
    <x:t xml:space="preserve">雷精</x:t>
  </x:si>
  <x:si>
    <x:r>
      <x:rPr>
        <x:sz val="11"/>
        <x:color rgb="FF000000"/>
        <x:rFont val="Noto Sans CJK SC"/>
        <x:family val="2"/>
      </x:rPr>
      <x:t xml:space="preserve">雷屬性附魔成功</x:t>
    </x:r>
    <x:r>
      <x:rPr>
        <x:sz val="11"/>
        <x:color rgb="FF000000"/>
        <x:rFont val="Arial"/>
      </x:rPr>
      <x:t xml:space="preserve">+15%(</x:t>
    </x:r>
    <x:r>
      <x:rPr>
        <x:sz val="11"/>
        <x:color rgb="FF000000"/>
        <x:rFont val="Noto Sans CJK SC"/>
        <x:family val="2"/>
      </x:rPr>
      <x:t xml:space="preserve">可疊加</x:t>
    </x:r>
    <x:r>
      <x:rPr>
        <x:sz val="11"/>
        <x:color rgb="FF000000"/>
        <x:rFont val="Arial"/>
      </x:rPr>
      <x:t xml:space="preserve">)</x:t>
    </x:r>
  </x:si>
  <x:si>
    <x:t xml:space="preserve">蝕骨花</x:t>
  </x:si>
  <x:si>
    <x:r>
      <x:rPr>
        <x:sz val="11"/>
        <x:color rgb="FF000000"/>
        <x:rFont val="Noto Sans CJK SC"/>
        <x:family val="2"/>
      </x:rPr>
      <x:t xml:space="preserve">毒屬性附魔成功</x:t>
    </x:r>
    <x:r>
      <x:rPr>
        <x:sz val="11"/>
        <x:color rgb="FF000000"/>
        <x:rFont val="Arial"/>
      </x:rPr>
      <x:t xml:space="preserve">+30%</x:t>
    </x:r>
  </x:si>
  <x:si>
    <x:t xml:space="preserve">毒精</x:t>
  </x:si>
  <x:si>
    <x:r>
      <x:rPr>
        <x:sz val="11"/>
        <x:color rgb="FF000000"/>
        <x:rFont val="Noto Sans CJK SC"/>
        <x:family val="2"/>
      </x:rPr>
      <x:t xml:space="preserve">毒屬性附魔成功</x:t>
    </x:r>
    <x:r>
      <x:rPr>
        <x:sz val="11"/>
        <x:color rgb="FF000000"/>
        <x:rFont val="Arial"/>
      </x:rPr>
      <x:t xml:space="preserve">+15%(</x:t>
    </x:r>
    <x:r>
      <x:rPr>
        <x:sz val="11"/>
        <x:color rgb="FF000000"/>
        <x:rFont val="Noto Sans CJK SC"/>
        <x:family val="2"/>
      </x:rPr>
      <x:t xml:space="preserve">可疊加</x:t>
    </x:r>
    <x:r>
      <x:rPr>
        <x:sz val="11"/>
        <x:color rgb="FF000000"/>
        <x:rFont val="Arial"/>
      </x:rPr>
      <x:t xml:space="preserve">)</x:t>
    </x:r>
  </x:si>
  <x:si>
    <x:r>
      <x:rPr>
        <x:i/>
        <x:sz val="11"/>
        <x:color rgb="FF808080"/>
        <x:rFont val="Noto Sans CJK SC"/>
        <x:family val="2"/>
      </x:rPr>
      <x:t xml:space="preserve">新增物品：複製一列改 </x:t>
    </x:r>
    <x:r>
      <x:rPr>
        <x:i/>
        <x:sz val="11"/>
        <x:color rgb="FF808080"/>
        <x:rFont val="Arial"/>
      </x:rPr>
      <x:t xml:space="preserve">item_id(</x:t>
    </x:r>
    <x:r>
      <x:rPr>
        <x:i/>
        <x:sz val="11"/>
        <x:color rgb="FF808080"/>
        <x:rFont val="Noto Sans CJK SC"/>
        <x:family val="2"/>
      </x:rPr>
      <x:t xml:space="preserve">不可重複</x:t>
    </x:r>
    <x:r>
      <x:rPr>
        <x:i/>
        <x:sz val="11"/>
        <x:color rgb="FF808080"/>
        <x:rFont val="Arial"/>
      </x:rPr>
      <x:t xml:space="preserve">)</x:t>
    </x:r>
    <x:r>
      <x:rPr>
        <x:i/>
        <x:sz val="11"/>
        <x:color rgb="FF808080"/>
        <x:rFont val="Noto Sans CJK SC"/>
        <x:family val="2"/>
      </x:rPr>
      <x:t xml:space="preserve">。效果類型須為『效果類型』表已支援者。『類型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顯示</x:t>
    </x:r>
    <x:r>
      <x:rPr>
        <x:i/>
        <x:sz val="11"/>
        <x:color rgb="FF808080"/>
        <x:rFont val="Arial"/>
      </x:rPr>
      <x:t xml:space="preserve">)</x:t>
    </x:r>
    <x:r>
      <x:rPr>
        <x:i/>
        <x:sz val="11"/>
        <x:color rgb="FF808080"/>
        <x:rFont val="Noto Sans CJK SC"/>
        <x:family val="2"/>
      </x:rPr>
      <x:t xml:space="preserve">』僅武器</x:t>
    </x:r>
    <x:r>
      <x:rPr>
        <x:i/>
        <x:sz val="11"/>
        <x:color rgb="FF808080"/>
        <x:rFont val="Arial"/>
      </x:rPr>
      <x:t xml:space="preserve">/</x:t>
    </x:r>
    <x:r>
      <x:rPr>
        <x:i/>
        <x:sz val="11"/>
        <x:color rgb="FF808080"/>
        <x:rFont val="Noto Sans CJK SC"/>
        <x:family val="2"/>
      </x:rPr>
      <x:t xml:space="preserve">防具需填，戰鬥訊息會顯示為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玩家自訂名</x:t>
    </x:r>
    <x:r>
      <x:rPr>
        <x:i/>
        <x:sz val="11"/>
        <x:color rgb="FF808080"/>
        <x:rFont val="Arial"/>
      </x:rPr>
      <x:t xml:space="preserve">)+</x:t>
    </x:r>
    <x:r>
      <x:rPr>
        <x:i/>
        <x:sz val="11"/>
        <x:color rgb="FF808080"/>
        <x:rFont val="Noto Sans CJK SC"/>
        <x:family val="2"/>
      </x:rPr>
      <x:t xml:space="preserve">類型。</x:t>
    </x:r>
  </x:si>
  <x:si>
    <x:t xml:space="preserve">合成表（煉丹／煉器配方）</x:t>
  </x:si>
  <x:si>
    <x:t xml:space="preserve">recipe_id</x:t>
  </x:si>
  <x:si>
    <x:r>
      <x:rPr>
        <x:b/>
        <x:sz val="11"/>
        <x:color rgb="FFFFFFFF"/>
        <x:rFont val="Noto Sans CJK SC"/>
        <x:family val="2"/>
      </x:rPr>
      <x:t xml:space="preserve">產物</x:t>
    </x:r>
    <x:r>
      <x:rPr>
        <x:b/>
        <x:sz val="11"/>
        <x:color rgb="FFFFFFFF"/>
        <x:rFont val="Arial"/>
      </x:rPr>
      <x:t xml:space="preserve">item_id</x:t>
    </x:r>
  </x:si>
  <x:si>
    <x:t xml:space="preserve">產物名稱</x:t>
  </x:si>
  <x:si>
    <x:r>
      <x:rPr>
        <x:b/>
        <x:sz val="11"/>
        <x:color rgb="FFFFFFFF"/>
        <x:rFont val="Noto Sans CJK SC"/>
        <x:family val="2"/>
      </x:rPr>
      <x:t xml:space="preserve">需習得丹方</x:t>
    </x:r>
    <x:r>
      <x:rPr>
        <x:b/>
        <x:sz val="11"/>
        <x:color rgb="FFFFFFFF"/>
        <x:rFont val="Arial"/>
      </x:rPr>
      <x:t xml:space="preserve">(item_id,0=</x:t>
    </x:r>
    <x:r>
      <x:rPr>
        <x:b/>
        <x:sz val="11"/>
        <x:color rgb="FFFFFFFF"/>
        <x:rFont val="Noto Sans CJK SC"/>
        <x:family val="2"/>
      </x:rPr>
      <x:t xml:space="preserve">預設會</x:t>
    </x:r>
    <x:r>
      <x:rPr>
        <x:b/>
        <x:sz val="11"/>
        <x:color rgb="FFFFFFFF"/>
        <x:rFont val="Arial"/>
      </x:rPr>
      <x:t xml:space="preserve">)</x:t>
    </x:r>
  </x:si>
  <x:si>
    <x:r>
      <x:rPr>
        <x:b/>
        <x:sz val="11"/>
        <x:color rgb="FFFFFFFF"/>
        <x:rFont val="Noto Sans CJK SC"/>
        <x:family val="2"/>
      </x:rPr>
      <x:t xml:space="preserve">材料</x:t>
    </x:r>
    <x:r>
      <x:rPr>
        <x:b/>
        <x:sz val="11"/>
        <x:color rgb="FFFFFFFF"/>
        <x:rFont val="Arial"/>
      </x:rPr>
      <x:t xml:space="preserve">1_id</x:t>
    </x:r>
  </x:si>
  <x:si>
    <x:r>
      <x:rPr>
        <x:b/>
        <x:sz val="11"/>
        <x:color rgb="FFFFFFFF"/>
        <x:rFont val="Noto Sans CJK SC"/>
        <x:family val="2"/>
      </x:rPr>
      <x:t xml:space="preserve">數量</x:t>
    </x:r>
    <x:r>
      <x:rPr>
        <x:b/>
        <x:sz val="11"/>
        <x:color rgb="FFFFFFFF"/>
        <x:rFont val="Arial"/>
      </x:rPr>
      <x:t xml:space="preserve">1</x:t>
    </x:r>
  </x:si>
  <x:si>
    <x:r>
      <x:rPr>
        <x:b/>
        <x:sz val="11"/>
        <x:color rgb="FFFFFFFF"/>
        <x:rFont val="Noto Sans CJK SC"/>
        <x:family val="2"/>
      </x:rPr>
      <x:t xml:space="preserve">材料</x:t>
    </x:r>
    <x:r>
      <x:rPr>
        <x:b/>
        <x:sz val="11"/>
        <x:color rgb="FFFFFFFF"/>
        <x:rFont val="Arial"/>
      </x:rPr>
      <x:t xml:space="preserve">2_id</x:t>
    </x:r>
  </x:si>
  <x:si>
    <x:r>
      <x:rPr>
        <x:b/>
        <x:sz val="11"/>
        <x:color rgb="FFFFFFFF"/>
        <x:rFont val="Noto Sans CJK SC"/>
        <x:family val="2"/>
      </x:rPr>
      <x:t xml:space="preserve">數量</x:t>
    </x:r>
    <x:r>
      <x:rPr>
        <x:b/>
        <x:sz val="11"/>
        <x:color rgb="FFFFFFFF"/>
        <x:rFont val="Arial"/>
      </x:rPr>
      <x:t xml:space="preserve">2</x:t>
    </x:r>
  </x:si>
  <x:si>
    <x:r>
      <x:rPr>
        <x:b/>
        <x:sz val="11"/>
        <x:color rgb="FFFFFFFF"/>
        <x:rFont val="Noto Sans CJK SC"/>
        <x:family val="2"/>
      </x:rPr>
      <x:t xml:space="preserve">材料</x:t>
    </x:r>
    <x:r>
      <x:rPr>
        <x:b/>
        <x:sz val="11"/>
        <x:color rgb="FFFFFFFF"/>
        <x:rFont val="Arial"/>
      </x:rPr>
      <x:t xml:space="preserve">3_id</x:t>
    </x:r>
  </x:si>
  <x:si>
    <x:r>
      <x:rPr>
        <x:b/>
        <x:sz val="11"/>
        <x:color rgb="FFFFFFFF"/>
        <x:rFont val="Noto Sans CJK SC"/>
        <x:family val="2"/>
      </x:rPr>
      <x:t xml:space="preserve">數量</x:t>
    </x:r>
    <x:r>
      <x:rPr>
        <x:b/>
        <x:sz val="11"/>
        <x:color rgb="FFFFFFFF"/>
        <x:rFont val="Arial"/>
      </x:rPr>
      <x:t xml:space="preserve">3</x:t>
    </x:r>
  </x:si>
  <x:si>
    <x:t xml:space="preserve">消耗精力</x:t>
  </x:si>
  <x:si>
    <x:r>
      <x:rPr>
        <x:sz val="11"/>
        <x:rFont val="Noto Sans CJK SC"/>
        <x:family val="2"/>
      </x:rPr>
      <x:t xml:space="preserve">需先習得</x:t>
    </x:r>
    <x:r>
      <x:rPr>
        <x:sz val="11"/>
        <x:rFont val="Arial"/>
      </x:rPr>
      <x:t xml:space="preserve">[</x:t>
    </x:r>
    <x:r>
      <x:rPr>
        <x:sz val="11"/>
        <x:rFont val="Noto Sans CJK SC"/>
        <x:family val="2"/>
      </x:rPr>
      <x:t xml:space="preserve">培元丹丹方</x:t>
    </x:r>
    <x:r>
      <x:rPr>
        <x:sz val="11"/>
        <x:rFont val="Arial"/>
      </x:rPr>
      <x:t xml:space="preserve">]</x:t>
    </x:r>
  </x:si>
  <x:si>
    <x:r>
      <x:rPr>
        <x:sz val="11"/>
        <x:rFont val="Noto Sans CJK SC"/>
        <x:family val="2"/>
      </x:rPr>
      <x:t xml:space="preserve">需先習得</x:t>
    </x:r>
    <x:r>
      <x:rPr>
        <x:sz val="11"/>
        <x:rFont val="Arial"/>
      </x:rPr>
      <x:t xml:space="preserve">[</x:t>
    </x:r>
    <x:r>
      <x:rPr>
        <x:sz val="11"/>
        <x:rFont val="Noto Sans CJK SC"/>
        <x:family val="2"/>
      </x:rPr>
      <x:t xml:space="preserve">聚靈丹丹方</x:t>
    </x:r>
    <x:r>
      <x:rPr>
        <x:sz val="11"/>
        <x:rFont val="Arial"/>
      </x:rPr>
      <x:t xml:space="preserve">]</x:t>
    </x:r>
  </x:si>
  <x:si>
    <x:r>
      <x:rPr>
        <x:sz val="11"/>
        <x:rFont val="Noto Sans CJK SC"/>
        <x:family val="2"/>
      </x:rPr>
      <x:t xml:space="preserve">靈草</x:t>
    </x:r>
    <x:r>
      <x:rPr>
        <x:sz val="11"/>
        <x:rFont val="Arial"/>
      </x:rPr>
      <x:t xml:space="preserve">×3</x:t>
    </x:r>
  </x:si>
  <x:si>
    <x:r>
      <x:rPr>
        <x:sz val="11"/>
        <x:rFont val="Noto Sans CJK SC"/>
        <x:family val="2"/>
      </x:rPr>
      <x:t xml:space="preserve">精鐵</x:t>
    </x:r>
    <x:r>
      <x:rPr>
        <x:sz val="11"/>
        <x:rFont val="Arial"/>
      </x:rPr>
      <x:t xml:space="preserve">×20 + </x:t>
    </x:r>
    <x:r>
      <x:rPr>
        <x:sz val="11"/>
        <x:rFont val="Noto Sans CJK SC"/>
        <x:family val="2"/>
      </x:rPr>
      <x:t xml:space="preserve">長劍設計圖</x:t>
    </x:r>
  </x:si>
  <x:si>
    <x:r>
      <x:rPr>
        <x:sz val="11"/>
        <x:rFont val="Noto Sans CJK SC"/>
        <x:family val="2"/>
      </x:rPr>
      <x:t xml:space="preserve">精鐵</x:t>
    </x:r>
    <x:r>
      <x:rPr>
        <x:sz val="11"/>
        <x:rFont val="Arial"/>
      </x:rPr>
      <x:t xml:space="preserve">×20 + </x:t>
    </x:r>
    <x:r>
      <x:rPr>
        <x:sz val="11"/>
        <x:rFont val="Noto Sans CJK SC"/>
        <x:family val="2"/>
      </x:rPr>
      <x:t xml:space="preserve">玄鐵甲設計圖</x:t>
    </x:r>
  </x:si>
  <x:si>
    <x:r>
      <x:rPr>
        <x:sz val="11"/>
        <x:rFont val="Noto Sans CJK SC"/>
        <x:family val="2"/>
      </x:rPr>
      <x:t xml:space="preserve">精鐵</x:t>
    </x:r>
    <x:r>
      <x:rPr>
        <x:sz val="11"/>
        <x:rFont val="Arial"/>
      </x:rPr>
      <x:t xml:space="preserve">×20 + </x:t>
    </x:r>
    <x:r>
      <x:rPr>
        <x:sz val="11"/>
        <x:rFont val="Noto Sans CJK SC"/>
        <x:family val="2"/>
      </x:rPr>
      <x:t xml:space="preserve">飛劍設計圖 </x:t>
    </x:r>
    <x:r>
      <x:rPr>
        <x:sz val="11"/>
        <x:rFont val="Arial"/>
      </x:rPr>
      <x:t xml:space="preserve">+ </x:t>
    </x:r>
    <x:r>
      <x:rPr>
        <x:sz val="11"/>
        <x:rFont val="Noto Sans CJK SC"/>
        <x:family val="2"/>
      </x:rPr>
      <x:t xml:space="preserve">妖丹</x:t>
    </x:r>
    <x:r>
      <x:rPr>
        <x:sz val="11"/>
        <x:rFont val="Arial"/>
      </x:rPr>
      <x:t xml:space="preserve">×3</x:t>
    </x:r>
  </x:si>
  <x:si>
    <x:r>
      <x:rPr>
        <x:i/>
        <x:sz val="11"/>
        <x:color rgb="FF808080"/>
        <x:rFont val="Noto Sans CJK SC"/>
        <x:family val="2"/>
      </x:rPr>
      <x:t xml:space="preserve">『需習得丹方』</x:t>
    </x:r>
    <x:r>
      <x:rPr>
        <x:i/>
        <x:sz val="11"/>
        <x:color rgb="FF808080"/>
        <x:rFont val="Arial"/>
      </x:rPr>
      <x:t xml:space="preserve">0=</x:t>
    </x:r>
    <x:r>
      <x:rPr>
        <x:i/>
        <x:sz val="11"/>
        <x:color rgb="FF808080"/>
        <x:rFont val="Noto Sans CJK SC"/>
        <x:family val="2"/>
      </x:rPr>
      <x:t xml:space="preserve">預設會；填</x:t>
    </x:r>
    <x:r>
      <x:rPr>
        <x:i/>
        <x:sz val="11"/>
        <x:color rgb="FF808080"/>
        <x:rFont val="Arial"/>
      </x:rPr>
      <x:t xml:space="preserve">item_id=</x:t>
    </x:r>
    <x:r>
      <x:rPr>
        <x:i/>
        <x:sz val="11"/>
        <x:color rgb="FF808080"/>
        <x:rFont val="Noto Sans CJK SC"/>
        <x:family val="2"/>
      </x:rPr>
      <x:t xml:space="preserve">要先取得並使用該丹方才解鎖。</x:t>
    </x:r>
  </x:si>
  <x:si>
    <x:t xml:space="preserve">效果類型字典（引擎支援的機制種類）</x:t>
  </x:si>
  <x:si>
    <x:r>
      <x:rPr>
        <x:i/>
        <x:sz val="11"/>
        <x:color rgb="FF808080"/>
        <x:rFont val="Noto Sans CJK SC"/>
        <x:family val="2"/>
      </x:rPr>
      <x:t xml:space="preserve">物品</x:t>
    </x:r>
    <x:r>
      <x:rPr>
        <x:i/>
        <x:sz val="11"/>
        <x:color rgb="FF808080"/>
        <x:rFont val="Arial"/>
      </x:rPr>
      <x:t xml:space="preserve">/</x:t>
    </x:r>
    <x:r>
      <x:rPr>
        <x:i/>
        <x:sz val="11"/>
        <x:color rgb="FF808080"/>
        <x:rFont val="Noto Sans CJK SC"/>
        <x:family val="2"/>
      </x:rPr>
      <x:t xml:space="preserve">技能只要用『已支援』的效果類型即可純配表加入。要新增一整種新機制才需工程師實作一次並登記於此。</x:t>
    </x:r>
  </x:si>
  <x:si>
    <x:r>
      <x:rPr>
        <x:b/>
        <x:sz val="11"/>
        <x:color rgb="FFFFFFFF"/>
        <x:rFont val="Noto Sans CJK SC"/>
        <x:family val="2"/>
      </x:rPr>
      <x:t xml:space="preserve">效果類型</x:t>
    </x:r>
    <x:r>
      <x:rPr>
        <x:b/>
        <x:sz val="11"/>
        <x:color rgb="FFFFFFFF"/>
        <x:rFont val="Arial"/>
      </x:rPr>
      <x:t xml:space="preserve">key</x:t>
    </x:r>
  </x:si>
  <x:si>
    <x:t xml:space="preserve">引擎行為</x:t>
  </x:si>
  <x:si>
    <x:t xml:space="preserve">『效果數值』代表什麼</x:t>
  </x:si>
  <x:si>
    <x:t xml:space="preserve">作用目標</x:t>
  </x:si>
  <x:si>
    <x:t xml:space="preserve">觸發時機</x:t>
  </x:si>
  <x:si>
    <x:t xml:space="preserve">已支援</x:t>
  </x:si>
  <x:si>
    <x:r>
      <x:rPr>
        <x:sz val="11"/>
        <x:color rgb="FF000000"/>
        <x:rFont val="Noto Sans CJK SC"/>
        <x:family val="2"/>
      </x:rPr>
      <x:t xml:space="preserve">增加體力</x:t>
    </x:r>
    <x:r>
      <x:rPr>
        <x:sz val="11"/>
        <x:color rgb="FF000000"/>
        <x:rFont val="Arial"/>
      </x:rPr>
      <x:t xml:space="preserve">(HP)</x:t>
    </x:r>
  </x:si>
  <x:si>
    <x:t xml:space="preserve">回復量</x:t>
  </x:si>
  <x:si>
    <x:t xml:space="preserve">自己</x:t>
  </x:si>
  <x:si>
    <x:t xml:space="preserve">使用時</x:t>
  </x:si>
  <x:si>
    <x:r>
      <x:rPr>
        <x:sz val="11"/>
        <x:color rgb="FF000000"/>
        <x:rFont val="Noto Sans CJK SC"/>
        <x:family val="2"/>
      </x:rPr>
      <x:t xml:space="preserve">增加精力</x:t>
    </x:r>
    <x:r>
      <x:rPr>
        <x:sz val="11"/>
        <x:color rgb="FF000000"/>
        <x:rFont val="Arial"/>
      </x:rPr>
      <x:t xml:space="preserve">(MP)</x:t>
    </x:r>
  </x:si>
  <x:si>
    <x:t xml:space="preserve">移除一個受傷部位</x:t>
  </x:si>
  <x:si>
    <x:t xml:space="preserve">0</x:t>
  </x:si>
  <x:si>
    <x:t xml:space="preserve">作為武器基礎傷害</x:t>
  </x:si>
  <x:si>
    <x:t xml:space="preserve">傷害基礎值</x:t>
  </x:si>
  <x:si>
    <x:t xml:space="preserve">裝備者→敵人</x:t>
  </x:si>
  <x:si>
    <x:t xml:space="preserve">裝備＋出手</x:t>
  </x:si>
  <x:si>
    <x:t xml:space="preserve">作為防具減傷</x:t>
  </x:si>
  <x:si>
    <x:t xml:space="preserve">減傷值</x:t>
  </x:si>
  <x:si>
    <x:t xml:space="preserve">裝備時</x:t>
  </x:si>
  <x:si>
    <x:t xml:space="preserve">可投擲，造成傷害或傳訊</x:t>
  </x:si>
  <x:si>
    <x:r>
      <x:rPr>
        <x:sz val="11"/>
        <x:color rgb="FF000000"/>
        <x:rFont val="Noto Sans CJK SC"/>
        <x:family val="2"/>
      </x:rPr>
      <x:t xml:space="preserve">傷害</x:t>
    </x:r>
    <x:r>
      <x:rPr>
        <x:sz val="11"/>
        <x:color rgb="FF000000"/>
        <x:rFont val="Arial"/>
      </x:rPr>
      <x:t xml:space="preserve">/1</x:t>
    </x:r>
  </x:si>
  <x:si>
    <x:t xml:space="preserve">選定目標</x:t>
  </x:si>
  <x:si>
    <x:t xml:space="preserve">主動投擲</x:t>
  </x:si>
  <x:si>
    <x:t xml:space="preserve">隱藏座標並清除突破動靜</x:t>
  </x:si>
  <x:si>
    <x:t xml:space="preserve">持續秒數</x:t>
  </x:si>
  <x:si>
    <x:t xml:space="preserve">賦予目標『定身』狀態</x:t>
  </x:si>
  <x:si>
    <x:t xml:space="preserve">主動施放</x:t>
  </x:si>
  <x:si>
    <x:t xml:space="preserve">無主動效果，僅供合成</x:t>
  </x:si>
  <x:si>
    <x:r>
      <x:rPr>
        <x:sz val="11"/>
        <x:color rgb="FF000000"/>
        <x:rFont val="Noto Sans CJK SC"/>
        <x:family val="2"/>
      </x:rPr>
      <x:t xml:space="preserve">賦予裝備屬性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火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冰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雷</x:t>
    </x:r>
    <x:r>
      <x:rPr>
        <x:sz val="11"/>
        <x:color rgb="FF000000"/>
        <x:rFont val="Arial"/>
      </x:rPr>
      <x:t xml:space="preserve">)</x:t>
    </x:r>
    <x:r>
      <x:rPr>
        <x:sz val="11"/>
        <x:color rgb="FF000000"/>
        <x:rFont val="Noto Sans CJK SC"/>
        <x:family val="2"/>
      </x:rPr>
      <x:t xml:space="preserve">之材料</x:t>
    </x:r>
  </x:si>
  <x:si>
    <x:r>
      <x:rPr>
        <x:sz val="11"/>
        <x:color rgb="FF000000"/>
        <x:rFont val="Noto Sans CJK SC"/>
        <x:family val="2"/>
      </x:rPr>
      <x:t xml:space="preserve">附魔成功率貢獻</x:t>
    </x:r>
    <x:r>
      <x:rPr>
        <x:sz val="11"/>
        <x:color rgb="FF000000"/>
        <x:rFont val="Arial"/>
      </x:rPr>
      <x:t xml:space="preserve">%</x:t>
    </x:r>
  </x:si>
  <x:si>
    <x:t xml:space="preserve">裝備</x:t>
  </x:si>
  <x:si>
    <x:t xml:space="preserve">附魔時</x:t>
  </x:si>
  <x:si>
    <x:t xml:space="preserve">以庚精提升裝備強化等級</x:t>
  </x:si>
  <x:si>
    <x:t xml:space="preserve">強化時</x:t>
  </x:si>
  <x:si>
    <x:r>
      <x:rPr>
        <x:sz val="11"/>
        <x:color rgb="FF000000"/>
        <x:rFont val="Noto Sans CJK SC"/>
        <x:family val="2"/>
      </x:rPr>
      <x:t xml:space="preserve">修復裝備損壞次數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磨刀石修武器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護甲片修防具</x:t>
    </x:r>
    <x:r>
      <x:rPr>
        <x:sz val="11"/>
        <x:color rgb="FF000000"/>
        <x:rFont val="Arial"/>
      </x:rPr>
      <x:t xml:space="preserve">)</x:t>
    </x:r>
  </x:si>
  <x:si>
    <x:t xml:space="preserve">每個修復的損壞次數</x:t>
  </x:si>
  <x:si>
    <x:t xml:space="preserve">永久學會一個合成配方</x:t>
  </x:si>
  <x:si>
    <x:r>
      <x:rPr>
        <x:sz val="11"/>
        <x:color rgb="FF000000"/>
        <x:rFont val="Noto Sans CJK SC"/>
        <x:family val="2"/>
      </x:rPr>
      <x:t xml:space="preserve">習得的</x:t>
    </x:r>
    <x:r>
      <x:rPr>
        <x:sz val="11"/>
        <x:color rgb="FF000000"/>
        <x:rFont val="Arial"/>
      </x:rPr>
      <x:t xml:space="preserve">recipe_id</x:t>
    </x:r>
  </x:si>
  <x:si>
    <x:r>
      <x:rPr>
        <x:sz val="11"/>
        <x:color rgb="FF000000"/>
        <x:rFont val="Noto Sans CJK SC"/>
        <x:family val="2"/>
      </x:rPr>
      <x:t xml:space="preserve">永久提升對應突破成功率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可累積不重置</x:t>
    </x:r>
    <x:r>
      <x:rPr>
        <x:sz val="11"/>
        <x:color rgb="FF000000"/>
        <x:rFont val="Arial"/>
      </x:rPr>
      <x:t xml:space="preserve">)</x:t>
    </x:r>
  </x:si>
  <x:si>
    <x:t xml:space="preserve">增加的百分點</x:t>
  </x:si>
  <x:si>
    <x:t xml:space="preserve">於可開洞府區域建立個人洞府</x:t>
  </x:si>
  <x:si>
    <x:r>
      <x:rPr>
        <x:sz val="11"/>
        <x:color rgb="FF000000"/>
        <x:rFont val="Noto Sans CJK SC"/>
        <x:family val="2"/>
      </x:rPr>
      <x:t xml:space="preserve">自己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區域</x:t>
    </x:r>
  </x:si>
  <x:si>
    <x:t xml:space="preserve">規劃中</x:t>
  </x:si>
  <x:si>
    <x:r>
      <x:rPr>
        <x:sz val="11"/>
        <x:color rgb="FF000000"/>
        <x:rFont val="Noto Sans CJK SC"/>
        <x:family val="2"/>
      </x:rPr>
      <x:t xml:space="preserve">啟動洞府陣法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限時，護體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加速修煉</x:t>
    </x:r>
    <x:r>
      <x:rPr>
        <x:sz val="11"/>
        <x:color rgb="FF000000"/>
        <x:rFont val="Arial"/>
      </x:rPr>
      <x:t xml:space="preserve">)</x:t>
    </x:r>
  </x:si>
  <x:si>
    <x:t xml:space="preserve">有效小時數</x:t>
  </x:si>
  <x:si>
    <x:t xml:space="preserve">洞府</x:t>
  </x:si>
  <x:si>
    <x:r>
      <x:rPr>
        <x:sz val="11"/>
        <x:color rgb="FF000000"/>
        <x:rFont val="Noto Sans CJK SC"/>
        <x:family val="2"/>
      </x:rPr>
      <x:t xml:space="preserve">於選定地點成立宗門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築基以上</x:t>
    </x:r>
    <x:r>
      <x:rPr>
        <x:sz val="11"/>
        <x:color rgb="FF000000"/>
        <x:rFont val="Arial"/>
      </x:rPr>
      <x:t xml:space="preserve">)</x:t>
    </x:r>
  </x:si>
  <x:si>
    <x:t xml:space="preserve">屬性強化</x:t>
  </x:si>
  <x:si>
    <x:r>
      <x:rPr>
        <x:sz val="11"/>
        <x:color rgb="FF000000"/>
        <x:rFont val="Noto Sans CJK SC"/>
        <x:family val="2"/>
      </x:rPr>
      <x:t xml:space="preserve">給自己一個 </x:t>
    </x:r>
    <x:r>
      <x:rPr>
        <x:sz val="11"/>
        <x:color rgb="FF000000"/>
        <x:rFont val="Arial"/>
      </x:rPr>
      <x:t xml:space="preserve">buff </x:t>
    </x:r>
    <x:r>
      <x:rPr>
        <x:sz val="11"/>
        <x:color rgb="FF000000"/>
        <x:rFont val="Noto Sans CJK SC"/>
        <x:family val="2"/>
      </x:rPr>
      <x:t xml:space="preserve">狀態</x:t>
    </x:r>
  </x:si>
  <x:si>
    <x:r>
      <x:rPr>
        <x:sz val="11"/>
        <x:color rgb="FF000000"/>
        <x:rFont val="Noto Sans CJK SC"/>
        <x:family val="2"/>
      </x:rPr>
      <x:t xml:space="preserve">對應狀態</x:t>
    </x:r>
    <x:r>
      <x:rPr>
        <x:sz val="11"/>
        <x:color rgb="FF000000"/>
        <x:rFont val="Arial"/>
      </x:rPr>
      <x:t xml:space="preserve">id</x:t>
    </x:r>
  </x:si>
  <x:si>
    <x:t xml:space="preserve">範圍傷害</x:t>
  </x:si>
  <x:si>
    <x:t xml:space="preserve">對同區多名目標造成傷害</x:t>
  </x:si>
  <x:si>
    <x:t xml:space="preserve">傷害值</x:t>
  </x:si>
  <x:si>
    <x:t xml:space="preserve">同區敵人</x:t>
  </x:si>
  <x:si>
    <x:t xml:space="preserve">死亡時嘗試奪舍附近目標</x:t>
  </x:si>
  <x:si>
    <x:t xml:space="preserve">自己→目標</x:t>
  </x:si>
  <x:si>
    <x:t xml:space="preserve">死亡瞬間</x:t>
  </x:si>
  <x:si>
    <x:r>
      <x:rPr>
        <x:i/>
        <x:sz val="11"/>
        <x:color rgb="FF808080"/>
        <x:rFont val="Noto Sans CJK SC"/>
        <x:family val="2"/>
      </x:rPr>
      <x:t xml:space="preserve">新增全新機制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吸血、反傷、瞬移…</x:t>
    </x:r>
    <x:r>
      <x:rPr>
        <x:i/>
        <x:sz val="11"/>
        <x:color rgb="FF808080"/>
        <x:rFont val="Arial"/>
      </x:rPr>
      <x:t xml:space="preserve">)</x:t>
    </x:r>
    <x:r>
      <x:rPr>
        <x:i/>
        <x:sz val="11"/>
        <x:color rgb="FF808080"/>
        <x:rFont val="Noto Sans CJK SC"/>
        <x:family val="2"/>
      </x:rPr>
      <x:t xml:space="preserve">才需在此加列並實作一次；之後同類物品全純配表。</x:t>
    </x:r>
  </x:si>
  <x:si>
    <x:r>
      <x:rPr>
        <x:b/>
        <x:sz val="14"/>
        <x:color rgb="FFC00000"/>
        <x:rFont val="Noto Sans CJK SC"/>
        <x:family val="2"/>
      </x:rPr>
      <x:t xml:space="preserve">狀態效果字典（</x:t>
    </x:r>
    <x:r>
      <x:rPr>
        <x:b/>
        <x:sz val="14"/>
        <x:color rgb="FFC00000"/>
        <x:rFont val="Arial"/>
      </x:rPr>
      <x:t xml:space="preserve">buff / debuff</x:t>
    </x:r>
    <x:r>
      <x:rPr>
        <x:b/>
        <x:sz val="14"/>
        <x:color rgb="FFC00000"/>
        <x:rFont val="Noto Sans CJK SC"/>
        <x:family val="2"/>
      </x:rPr>
      <x:t xml:space="preserve">）</x:t>
    </x:r>
  </x:si>
  <x:si>
    <x:t xml:space="preserve">status_id</x:t>
  </x:si>
  <x:si>
    <x:t xml:space="preserve">類型</x:t>
  </x:si>
  <x:si>
    <x:t xml:space="preserve">影響</x:t>
  </x:si>
  <x:si>
    <x:r>
      <x:rPr>
        <x:b/>
        <x:sz val="11"/>
        <x:color rgb="FFFFFFFF"/>
        <x:rFont val="Noto Sans CJK SC"/>
        <x:family val="2"/>
      </x:rPr>
      <x:t xml:space="preserve">持續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回合</x:t>
    </x:r>
    <x:r>
      <x:rPr>
        <x:b/>
        <x:sz val="11"/>
        <x:color rgb="FFFFFFFF"/>
        <x:rFont val="Arial"/>
      </x:rPr>
      <x:t xml:space="preserve">/</x:t>
    </x:r>
    <x:r>
      <x:rPr>
        <x:b/>
        <x:sz val="11"/>
        <x:color rgb="FFFFFFFF"/>
        <x:rFont val="Noto Sans CJK SC"/>
        <x:family val="2"/>
      </x:rPr>
      <x:t xml:space="preserve">秒</x:t>
    </x:r>
    <x:r>
      <x:rPr>
        <x:b/>
        <x:sz val="11"/>
        <x:color rgb="FFFFFFFF"/>
        <x:rFont val="Arial"/>
      </x:rPr>
      <x:t xml:space="preserve">)</x:t>
    </x:r>
  </x:si>
  <x:si>
    <x:t xml:space="preserve">攻擊強化</x:t>
  </x:si>
  <x:si>
    <x:t xml:space="preserve">buff</x:t>
  </x:si>
  <x:si>
    <x:r>
      <x:rPr>
        <x:sz val="11"/>
        <x:color rgb="FF0000FF"/>
        <x:rFont val="Noto Sans CJK SC"/>
        <x:family val="2"/>
      </x:rPr>
      <x:t xml:space="preserve">攻擊力</x:t>
    </x:r>
    <x:r>
      <x:rPr>
        <x:sz val="11"/>
        <x:color rgb="FF0000FF"/>
        <x:rFont val="Arial"/>
      </x:rPr>
      <x:t xml:space="preserve">%</x:t>
    </x:r>
  </x:si>
  <x:si>
    <x:t xml:space="preserve">0.2</x:t>
  </x:si>
  <x:si>
    <x:r>
      <x:rPr>
        <x:sz val="11"/>
        <x:color rgb="FF0000FF"/>
        <x:rFont val="Arial"/>
      </x:rPr>
      <x:t xml:space="preserve">3</x:t>
    </x:r>
    <x:r>
      <x:rPr>
        <x:sz val="11"/>
        <x:color rgb="FF0000FF"/>
        <x:rFont val="Noto Sans CJK SC"/>
        <x:family val="2"/>
      </x:rPr>
      <x:t xml:space="preserve">回合</x:t>
    </x:r>
  </x:si>
  <x:si>
    <x:r>
      <x:rPr>
        <x:sz val="11"/>
        <x:color rgb="FF000000"/>
        <x:rFont val="Noto Sans CJK SC"/>
        <x:family val="2"/>
      </x:rPr>
      <x:t xml:space="preserve">攻擊</x:t>
    </x:r>
    <x:r>
      <x:rPr>
        <x:sz val="11"/>
        <x:color rgb="FF000000"/>
        <x:rFont val="Arial"/>
      </x:rPr>
      <x:t xml:space="preserve">+20%</x:t>
    </x:r>
  </x:si>
  <x:si>
    <x:t xml:space="preserve">防禦強化</x:t>
  </x:si>
  <x:si>
    <x:r>
      <x:rPr>
        <x:sz val="11"/>
        <x:color rgb="FF0000FF"/>
        <x:rFont val="Noto Sans CJK SC"/>
        <x:family val="2"/>
      </x:rPr>
      <x:t xml:space="preserve">防禦力</x:t>
    </x:r>
    <x:r>
      <x:rPr>
        <x:sz val="11"/>
        <x:color rgb="FF0000FF"/>
        <x:rFont val="Arial"/>
      </x:rPr>
      <x:t xml:space="preserve">%</x:t>
    </x:r>
  </x:si>
  <x:si>
    <x:r>
      <x:rPr>
        <x:sz val="11"/>
        <x:color rgb="FF000000"/>
        <x:rFont val="Noto Sans CJK SC"/>
        <x:family val="2"/>
      </x:rPr>
      <x:t xml:space="preserve">防禦</x:t>
    </x:r>
    <x:r>
      <x:rPr>
        <x:sz val="11"/>
        <x:color rgb="FF000000"/>
        <x:rFont val="Arial"/>
      </x:rPr>
      <x:t xml:space="preserve">+20%</x:t>
    </x:r>
  </x:si>
  <x:si>
    <x:t xml:space="preserve">隱匿</x:t>
  </x:si>
  <x:si>
    <x:t xml:space="preserve">座標隱藏</x:t>
  </x:si>
  <x:si>
    <x:t xml:space="preserve">1</x:t>
  </x:si>
  <x:si>
    <x:r>
      <x:rPr>
        <x:sz val="11"/>
        <x:color rgb="FF0000FF"/>
        <x:rFont val="Arial"/>
      </x:rPr>
      <x:t xml:space="preserve">60</x:t>
    </x:r>
    <x:r>
      <x:rPr>
        <x:sz val="11"/>
        <x:color rgb="FF0000FF"/>
        <x:rFont val="Noto Sans CJK SC"/>
        <x:family val="2"/>
      </x:rPr>
      <x:t xml:space="preserve">秒</x:t>
    </x:r>
  </x:si>
  <x:si>
    <x:t xml:space="preserve">他人看不到座標</x:t>
  </x:si>
  <x:si>
    <x:t xml:space="preserve">突破暴露</x:t>
  </x:si>
  <x:si>
    <x:t xml:space="preserve">debuff</x:t>
  </x:si>
  <x:si>
    <x:t xml:space="preserve">座標公開</x:t>
  </x:si>
  <x:si>
    <x:t xml:space="preserve">依境界能力</x:t>
  </x:si>
  <x:si>
    <x:t xml:space="preserve">突破動靜，附近可偷襲</x:t>
  </x:si>
  <x:si>
    <x:t xml:space="preserve">中毒</x:t>
  </x:si>
  <x:si>
    <x:t xml:space="preserve">每回合扣體力</x:t>
  </x:si>
  <x:si>
    <x:t xml:space="preserve">30</x:t>
  </x:si>
  <x:si>
    <x:r>
      <x:rPr>
        <x:sz val="11"/>
        <x:color rgb="FF0000FF"/>
        <x:rFont val="Arial"/>
      </x:rPr>
      <x:t xml:space="preserve">5</x:t>
    </x:r>
    <x:r>
      <x:rPr>
        <x:sz val="11"/>
        <x:color rgb="FF0000FF"/>
        <x:rFont val="Noto Sans CJK SC"/>
        <x:family val="2"/>
      </x:rPr>
      <x:t xml:space="preserve">回合</x:t>
    </x:r>
  </x:si>
  <x:si>
    <x:t xml:space="preserve">持續掉體力</x:t>
  </x:si>
  <x:si>
    <x:t xml:space="preserve">定身</x:t>
  </x:si>
  <x:si>
    <x:t xml:space="preserve">無法逃跑</x:t>
  </x:si>
  <x:si>
    <x:r>
      <x:rPr>
        <x:sz val="11"/>
        <x:color rgb="FF0000FF"/>
        <x:rFont val="Arial"/>
      </x:rPr>
      <x:t xml:space="preserve">1</x:t>
    </x:r>
    <x:r>
      <x:rPr>
        <x:sz val="11"/>
        <x:color rgb="FF0000FF"/>
        <x:rFont val="Noto Sans CJK SC"/>
        <x:family val="2"/>
      </x:rPr>
      <x:t xml:space="preserve">回合</x:t>
    </x:r>
  </x:si>
  <x:si>
    <x:t xml:space="preserve">走火入魔</x:t>
  </x:si>
  <x:si>
    <x:r>
      <x:rPr>
        <x:sz val="11"/>
        <x:color rgb="FF0000FF"/>
        <x:rFont val="Noto Sans CJK SC"/>
        <x:family val="2"/>
      </x:rPr>
      <x:t xml:space="preserve">攻防</x:t>
    </x:r>
    <x:r>
      <x:rPr>
        <x:sz val="11"/>
        <x:color rgb="FF0000FF"/>
        <x:rFont val="Arial"/>
      </x:rPr>
      <x:t xml:space="preserve">%</x:t>
    </x:r>
  </x:si>
  <x:si>
    <x:t xml:space="preserve">-0.3</x:t>
  </x:si>
  <x:si>
    <x:r>
      <x:rPr>
        <x:sz val="11"/>
        <x:color rgb="FF0000FF"/>
        <x:rFont val="Arial"/>
      </x:rPr>
      <x:t xml:space="preserve">10</x:t>
    </x:r>
    <x:r>
      <x:rPr>
        <x:sz val="11"/>
        <x:color rgb="FF0000FF"/>
        <x:rFont val="Noto Sans CJK SC"/>
        <x:family val="2"/>
      </x:rPr>
      <x:t xml:space="preserve">回合</x:t>
    </x:r>
  </x:si>
  <x:si>
    <x:t xml:space="preserve">修為全失</x:t>
  </x:si>
  <x:si>
    <x:r>
      <x:rPr>
        <x:sz val="11"/>
        <x:color rgb="FF0000FF"/>
        <x:rFont val="Noto Sans CJK SC"/>
        <x:family val="2"/>
      </x:rPr>
      <x:t xml:space="preserve">視同練氣</x:t>
    </x:r>
    <x:r>
      <x:rPr>
        <x:sz val="11"/>
        <x:color rgb="FF0000FF"/>
        <x:rFont val="Arial"/>
      </x:rPr>
      <x:t xml:space="preserve">5</x:t>
    </x:r>
    <x:r>
      <x:rPr>
        <x:sz val="11"/>
        <x:color rgb="FF0000FF"/>
        <x:rFont val="Noto Sans CJK SC"/>
        <x:family val="2"/>
      </x:rPr>
      <x:t xml:space="preserve">級</x:t>
    </x:r>
  </x:si>
  <x:si>
    <x:t xml:space="preserve">離開黑雲前</x:t>
  </x:si>
  <x:si>
    <x:t xml:space="preserve">黑雲效果，所有境界加成取消</x:t>
  </x:si>
  <x:si>
    <x:t xml:space="preserve">受傷部位表</x:t>
  </x:si>
  <x:si>
    <x:t xml:space="preserve">部位</x:t>
  </x:si>
  <x:si>
    <x:t xml:space="preserve">受傷效果</x:t>
  </x:si>
  <x:si>
    <x:t xml:space="preserve">額外精力消耗類型</x:t>
  </x:si>
  <x:si>
    <x:t xml:space="preserve">療傷精力消耗</x:t>
  </x:si>
  <x:si>
    <x:t xml:space="preserve">頭</x:t>
  </x:si>
  <x:si>
    <x:r>
      <x:rPr>
        <x:sz val="11"/>
        <x:color rgb="FF000000"/>
        <x:rFont val="Noto Sans CJK SC"/>
        <x:family val="2"/>
      </x:rPr>
      <x:t xml:space="preserve">所有行動額外扣精力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最嚴重</x:t>
    </x:r>
    <x:r>
      <x:rPr>
        <x:sz val="11"/>
        <x:color rgb="FF000000"/>
        <x:rFont val="Arial"/>
      </x:rPr>
      <x:t xml:space="preserve">)</x:t>
    </x:r>
  </x:si>
  <x:si>
    <x:t xml:space="preserve">所有動作</x:t>
  </x:si>
  <x:si>
    <x:r>
      <x:rPr>
        <x:sz val="11"/>
        <x:color rgb="FF000000"/>
        <x:rFont val="Noto Sans CJK SC"/>
        <x:family val="2"/>
      </x:rPr>
      <x:t xml:space="preserve">頭療傷</x:t>
    </x:r>
    <x:r>
      <x:rPr>
        <x:sz val="11"/>
        <x:color rgb="FF000000"/>
        <x:rFont val="Arial"/>
      </x:rPr>
      <x:t xml:space="preserve">=30</x:t>
    </x:r>
    <x:r>
      <x:rPr>
        <x:sz val="11"/>
        <x:color rgb="FF000000"/>
        <x:rFont val="Noto Sans CJK SC"/>
        <x:family val="2"/>
      </x:rPr>
      <x:t xml:space="preserve">精力</x:t>
    </x:r>
  </x:si>
  <x:si>
    <x:t xml:space="preserve">胸</x:t>
  </x:si>
  <x:si>
    <x:t xml:space="preserve">攻擊力下降</x:t>
  </x:si>
  <x:si>
    <x:t xml:space="preserve">攻擊時</x:t>
  </x:si>
  <x:si>
    <x:r>
      <x:rPr>
        <x:sz val="11"/>
        <x:color rgb="FF000000"/>
        <x:rFont val="Noto Sans CJK SC"/>
        <x:family val="2"/>
      </x:rPr>
      <x:t xml:space="preserve">一般療傷</x:t>
    </x:r>
    <x:r>
      <x:rPr>
        <x:sz val="11"/>
        <x:color rgb="FF000000"/>
        <x:rFont val="Arial"/>
      </x:rPr>
      <x:t xml:space="preserve">=10</x:t>
    </x:r>
    <x:r>
      <x:rPr>
        <x:sz val="11"/>
        <x:color rgb="FF000000"/>
        <x:rFont val="Noto Sans CJK SC"/>
        <x:family val="2"/>
      </x:rPr>
      <x:t xml:space="preserve">精力</x:t>
    </x:r>
  </x:si>
  <x:si>
    <x:t xml:space="preserve">手臂</x:t>
  </x:si>
  <x:si>
    <x:r>
      <x:rPr>
        <x:sz val="11"/>
        <x:color rgb="FF000000"/>
        <x:rFont val="Noto Sans CJK SC"/>
        <x:family val="2"/>
      </x:rPr>
      <x:t xml:space="preserve">命中率下降、易</x:t>
    </x:r>
    <x:r>
      <x:rPr>
        <x:sz val="11"/>
        <x:color rgb="FF000000"/>
        <x:rFont val="Arial"/>
      </x:rPr>
      <x:t xml:space="preserve">miss</x:t>
    </x:r>
  </x:si>
  <x:si>
    <x:t xml:space="preserve">腿</x:t>
  </x:si>
  <x:si>
    <x:t xml:space="preserve">移動額外扣精力</x:t>
  </x:si>
  <x:si>
    <x:t xml:space="preserve">移動時</x:t>
  </x:si>
  <x:si>
    <x:r>
      <x:rPr>
        <x:sz val="11"/>
        <x:color rgb="FF000000"/>
        <x:rFont val="Noto Sans CJK SC"/>
        <x:family val="2"/>
      </x:rPr>
      <x:t xml:space="preserve">腿療傷</x:t>
    </x:r>
    <x:r>
      <x:rPr>
        <x:sz val="11"/>
        <x:color rgb="FF000000"/>
        <x:rFont val="Arial"/>
      </x:rPr>
      <x:t xml:space="preserve">=15</x:t>
    </x:r>
    <x:r>
      <x:rPr>
        <x:sz val="11"/>
        <x:color rgb="FF000000"/>
        <x:rFont val="Noto Sans CJK SC"/>
        <x:family val="2"/>
      </x:rPr>
      <x:t xml:space="preserve">精力</x:t>
    </x:r>
  </x:si>
  <x:si>
    <x:t xml:space="preserve">無</x:t>
  </x:si>
  <x:si>
    <x:t xml:space="preserve">正常</x:t>
  </x:si>
  <x:si>
    <x:t xml:space="preserve">未受傷</x:t>
  </x:si>
  <x:si>
    <x:r>
      <x:rPr>
        <x:b/>
        <x:sz val="14"/>
        <x:color rgb="FFC00000"/>
        <x:rFont val="Noto Sans CJK SC"/>
        <x:family val="2"/>
      </x:rPr>
      <x:t xml:space="preserve">怪物表（妖獸 </x:t>
    </x:r>
    <x:r>
      <x:rPr>
        <x:b/>
        <x:sz val="14"/>
        <x:color rgb="FFC00000"/>
        <x:rFont val="Arial"/>
      </x:rPr>
      <x:t xml:space="preserve">/ </x:t>
    </x:r>
    <x:r>
      <x:rPr>
        <x:b/>
        <x:sz val="14"/>
        <x:color rgb="FFC00000"/>
        <x:rFont val="Noto Sans CJK SC"/>
        <x:family val="2"/>
      </x:rPr>
      <x:t xml:space="preserve">妖王 </x:t>
    </x:r>
    <x:r>
      <x:rPr>
        <x:b/>
        <x:sz val="14"/>
        <x:color rgb="FFC00000"/>
        <x:rFont val="Arial"/>
      </x:rPr>
      <x:t xml:space="preserve">/ </x:t>
    </x:r>
    <x:r>
      <x:rPr>
        <x:b/>
        <x:sz val="14"/>
        <x:color rgb="FFC00000"/>
        <x:rFont val="Noto Sans CJK SC"/>
        <x:family val="2"/>
      </x:rPr>
      <x:t xml:space="preserve">古魔）</x:t>
    </x:r>
  </x:si>
  <x:si>
    <x:t xml:space="preserve">monster_id</x:t>
  </x:si>
  <x:si>
    <x:t xml:space="preserve">對應境界</x:t>
  </x:si>
  <x:si>
    <x:t xml:space="preserve">體力</x:t>
  </x:si>
  <x:si>
    <x:t xml:space="preserve">給予經驗</x:t>
  </x:si>
  <x:si>
    <x:r>
      <x:rPr>
        <x:b/>
        <x:sz val="11"/>
        <x:color rgb="FFFFFFFF"/>
        <x:rFont val="Noto Sans CJK SC"/>
        <x:family val="2"/>
      </x:rPr>
      <x:t xml:space="preserve">掉落</x:t>
    </x:r>
    <x:r>
      <x:rPr>
        <x:b/>
        <x:sz val="11"/>
        <x:color rgb="FFFFFFFF"/>
        <x:rFont val="Arial"/>
      </x:rPr>
      <x:t xml:space="preserve">(item_id;</x:t>
    </x:r>
    <x:r>
      <x:rPr>
        <x:b/>
        <x:sz val="11"/>
        <x:color rgb="FFFFFFFF"/>
        <x:rFont val="Noto Sans CJK SC"/>
        <x:family val="2"/>
      </x:rPr>
      <x:t xml:space="preserve">機率</x:t>
    </x:r>
    <x:r>
      <x:rPr>
        <x:b/>
        <x:sz val="11"/>
        <x:color rgb="FFFFFFFF"/>
        <x:rFont val="Arial"/>
      </x:rPr>
      <x:t xml:space="preserve">|…)</x:t>
    </x:r>
  </x:si>
  <x:si>
    <x:t xml:space="preserve">出沒</x:t>
  </x:si>
  <x:si>
    <x:t xml:space="preserve">灰狼</x:t>
  </x:si>
  <x:si>
    <x:t xml:space="preserve">妖獸</x:t>
  </x:si>
  <x:si>
    <x:t xml:space="preserve">4001;0.5|1001;0.2</x:t>
  </x:si>
  <x:si>
    <x:r>
      <x:rPr>
        <x:sz val="11"/>
        <x:color rgb="FF000000"/>
        <x:rFont val="Noto Sans CJK SC"/>
        <x:family val="2"/>
      </x:rPr>
      <x:t xml:space="preserve">常駐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迷霧林</x:t>
    </x:r>
  </x:si>
  <x:si>
    <x:t xml:space="preserve">一階</x:t>
  </x:si>
  <x:si>
    <x:t xml:space="preserve">山豬</x:t>
  </x:si>
  <x:si>
    <x:t xml:space="preserve">4001;0.4|4003;0.1</x:t>
  </x:si>
  <x:si>
    <x:t xml:space="preserve">常駐</x:t>
  </x:si>
  <x:si>
    <x:t xml:space="preserve">二階</x:t>
  </x:si>
  <x:si>
    <x:t xml:space="preserve">赤蛇</x:t>
  </x:si>
  <x:si>
    <x:t xml:space="preserve">4003;0.4|4001;0.3</x:t>
  </x:si>
  <x:si>
    <x:r>
      <x:rPr>
        <x:sz val="11"/>
        <x:color rgb="FF000000"/>
        <x:rFont val="Noto Sans CJK SC"/>
        <x:family val="2"/>
      </x:rPr>
      <x:t xml:space="preserve">黑雲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獸潮</x:t>
    </x:r>
  </x:si>
  <x:si>
    <x:t xml:space="preserve">三階</x:t>
  </x:si>
  <x:si>
    <x:t xml:space="preserve">鐵甲犀</x:t>
  </x:si>
  <x:si>
    <x:t xml:space="preserve">4003;0.5|4002;0.2</x:t>
  </x:si>
  <x:si>
    <x:t xml:space="preserve">獸潮</x:t>
  </x:si>
  <x:si>
    <x:t xml:space="preserve">四階</x:t>
  </x:si>
  <x:si>
    <x:t xml:space="preserve">風豹</x:t>
  </x:si>
  <x:si>
    <x:t xml:space="preserve">4003;0.5|4004;0.2</x:t>
  </x:si>
  <x:si>
    <x:t xml:space="preserve">五階</x:t>
  </x:si>
  <x:si>
    <x:t xml:space="preserve">火鴉群</x:t>
  </x:si>
  <x:si>
    <x:t xml:space="preserve">4003;0.6|6001;0.1</x:t>
  </x:si>
  <x:si>
    <x:t xml:space="preserve">六階</x:t>
  </x:si>
  <x:si>
    <x:t xml:space="preserve">雷霆鵬</x:t>
  </x:si>
  <x:si>
    <x:t xml:space="preserve">妖王</x:t>
  </x:si>
  <x:si>
    <x:t xml:space="preserve">4003;1.0|8001;0.1</x:t>
  </x:si>
  <x:si>
    <x:r>
      <x:rPr>
        <x:sz val="11"/>
        <x:color rgb="FF000000"/>
        <x:rFont val="Noto Sans CJK SC"/>
        <x:family val="2"/>
      </x:rPr>
      <x:t xml:space="preserve">獸潮</x:t>
    </x:r>
    <x:r>
      <x:rPr>
        <x:sz val="11"/>
        <x:color rgb="FF000000"/>
        <x:rFont val="Arial"/>
      </x:rPr>
      <x:t xml:space="preserve">5%</x:t>
    </x:r>
  </x:si>
  <x:si>
    <x:t xml:space="preserve">九尾狐</x:t>
  </x:si>
  <x:si>
    <x:t xml:space="preserve">4003;1.0|5001;0.05</x:t>
  </x:si>
  <x:si>
    <x:t xml:space="preserve">玄冥龜</x:t>
  </x:si>
  <x:si>
    <x:t xml:space="preserve">4003;1.0|3002;0.1</x:t>
  </x:si>
  <x:si>
    <x:r>
      <x:rPr>
        <x:sz val="11"/>
        <x:color rgb="FF0000FF"/>
        <x:rFont val="Noto Sans CJK SC"/>
        <x:family val="2"/>
      </x:rPr>
      <x:t xml:space="preserve">古魔</x:t>
    </x:r>
    <x:r>
      <x:rPr>
        <x:sz val="11"/>
        <x:color rgb="FF0000FF"/>
        <x:rFont val="Arial"/>
      </x:rPr>
      <x:t xml:space="preserve">·</x:t>
    </x:r>
    <x:r>
      <x:rPr>
        <x:sz val="11"/>
        <x:color rgb="FF0000FF"/>
        <x:rFont val="Noto Sans CJK SC"/>
        <x:family val="2"/>
      </x:rPr>
      <x:t xml:space="preserve">噬魂</x:t>
    </x:r>
  </x:si>
  <x:si>
    <x:t xml:space="preserve">古魔</x:t>
  </x:si>
  <x:si>
    <x:t xml:space="preserve">4003;1.0|8002;0.05</x:t>
  </x:si>
  <x:si>
    <x:r>
      <x:rPr>
        <x:sz val="11"/>
        <x:color rgb="FF000000"/>
        <x:rFont val="Noto Sans CJK SC"/>
        <x:family val="2"/>
      </x:rPr>
      <x:t xml:space="preserve">魔界降臨</x:t>
    </x:r>
    <x:r>
      <x:rPr>
        <x:sz val="11"/>
        <x:color rgb="FF000000"/>
        <x:rFont val="Arial"/>
      </x:rPr>
      <x:t xml:space="preserve">2%</x:t>
    </x:r>
  </x:si>
  <x:si>
    <x:t xml:space="preserve">古魔統一結丹</x:t>
  </x:si>
  <x:si>
    <x:r>
      <x:rPr>
        <x:sz val="11"/>
        <x:color rgb="FF0000FF"/>
        <x:rFont val="Noto Sans CJK SC"/>
        <x:family val="2"/>
      </x:rPr>
      <x:t xml:space="preserve">古魔</x:t>
    </x:r>
    <x:r>
      <x:rPr>
        <x:sz val="11"/>
        <x:color rgb="FF0000FF"/>
        <x:rFont val="Arial"/>
      </x:rPr>
      <x:t xml:space="preserve">·</x:t>
    </x:r>
    <x:r>
      <x:rPr>
        <x:sz val="11"/>
        <x:color rgb="FF0000FF"/>
        <x:rFont val="Noto Sans CJK SC"/>
        <x:family val="2"/>
      </x:rPr>
      <x:t xml:space="preserve">血影</x:t>
    </x:r>
  </x:si>
  <x:si>
    <x:t xml:space="preserve">4003;1.0|5003;0.02</x:t>
  </x:si>
  <x:si>
    <x:r>
      <x:rPr>
        <x:sz val="11"/>
        <x:color rgb="FF0000FF"/>
        <x:rFont val="Noto Sans CJK SC"/>
        <x:family val="2"/>
      </x:rPr>
      <x:t xml:space="preserve">古魔</x:t>
    </x:r>
    <x:r>
      <x:rPr>
        <x:sz val="11"/>
        <x:color rgb="FF0000FF"/>
        <x:rFont val="Arial"/>
      </x:rPr>
      <x:t xml:space="preserve">·</x:t>
    </x:r>
    <x:r>
      <x:rPr>
        <x:sz val="11"/>
        <x:color rgb="FF0000FF"/>
        <x:rFont val="Noto Sans CJK SC"/>
        <x:family val="2"/>
      </x:rPr>
      <x:t xml:space="preserve">萬魔之眼</x:t>
    </x:r>
  </x:si>
  <x:si>
    <x:t xml:space="preserve">4003;1.0|8003;0.03</x:t>
  </x:si>
  <x:si>
    <x:r>
      <x:rPr>
        <x:sz val="11"/>
        <x:color rgb="FF0000FF"/>
        <x:rFont val="Noto Sans CJK SC"/>
        <x:family val="2"/>
      </x:rPr>
      <x:t xml:space="preserve">上古凶獸</x:t>
    </x:r>
    <x:r>
      <x:rPr>
        <x:sz val="11"/>
        <x:color rgb="FF0000FF"/>
        <x:rFont val="Arial"/>
      </x:rPr>
      <x:t xml:space="preserve">·</x:t>
    </x:r>
    <x:r>
      <x:rPr>
        <x:sz val="11"/>
        <x:color rgb="FF0000FF"/>
        <x:rFont val="Noto Sans CJK SC"/>
        <x:family val="2"/>
      </x:rPr>
      <x:t xml:space="preserve">饕餮</x:t>
    </x:r>
  </x:si>
  <x:si>
    <x:t xml:space="preserve">活動王</x:t>
  </x:si>
  <x:si>
    <x:t xml:space="preserve">4003;1.0|8401;0.2|8003;0.1</x:t>
  </x:si>
  <x:si>
    <x:t xml:space="preserve">活動場域</x:t>
  </x:si>
  <x:si>
    <x:t xml:space="preserve">預設活動怪，可改數值</x:t>
  </x:si>
  <x:si>
    <x:t xml:space="preserve">太古妖龍</x:t>
  </x:si>
  <x:si>
    <x:t xml:space="preserve">4003;1.0|7103;0.2|8402;0.3</x:t>
  </x:si>
  <x:si>
    <x:t xml:space="preserve">噬星魔蛛</x:t>
  </x:si>
  <x:si>
    <x:t xml:space="preserve">4003;1.0|5001;0.1|8407;0.2</x:t>
  </x:si>
  <x:si>
    <x:t xml:space="preserve">九幽冥王</x:t>
  </x:si>
  <x:si>
    <x:t xml:space="preserve">8004;0.1|8501;0.5|8407;0.3</x:t>
  </x:si>
  <x:si>
    <x:r>
      <x:rPr>
        <x:sz val="11"/>
        <x:color rgb="FF0000FF"/>
        <x:rFont val="Noto Sans CJK SC"/>
        <x:family val="2"/>
      </x:rPr>
      <x:t xml:space="preserve">域主</x:t>
    </x:r>
    <x:r>
      <x:rPr>
        <x:sz val="11"/>
        <x:color rgb="FF0000FF"/>
        <x:rFont val="Arial"/>
      </x:rPr>
      <x:t xml:space="preserve">·</x:t>
    </x:r>
    <x:r>
      <x:rPr>
        <x:sz val="11"/>
        <x:color rgb="FF0000FF"/>
        <x:rFont val="Noto Sans CJK SC"/>
        <x:family val="2"/>
      </x:rPr>
      <x:t xml:space="preserve">無名</x:t>
    </x:r>
    <x:r>
      <x:rPr>
        <x:sz val="11"/>
        <x:color rgb="FF0000FF"/>
        <x:rFont val="Arial"/>
      </x:rPr>
      <x:t xml:space="preserve">(BOSS)</x:t>
    </x:r>
  </x:si>
  <x:si>
    <x:t xml:space="preserve">8004;0.3|8005;0.2|5003;0.05</x:t>
  </x:si>
  <x:si>
    <x:r>
      <x:rPr>
        <x:sz val="11"/>
        <x:color rgb="FF000000"/>
        <x:rFont val="Noto Sans CJK SC"/>
        <x:family val="2"/>
      </x:rPr>
      <x:t xml:space="preserve">預設活動王</x:t>
    </x:r>
    <x:r>
      <x:rPr>
        <x:sz val="11"/>
        <x:color rgb="FF000000"/>
        <x:rFont val="Arial"/>
      </x:rPr>
      <x:t xml:space="preserve">BOSS</x:t>
    </x:r>
    <x:r>
      <x:rPr>
        <x:sz val="11"/>
        <x:color rgb="FF000000"/>
        <x:rFont val="Noto Sans CJK SC"/>
        <x:family val="2"/>
      </x:rPr>
      <x:t xml:space="preserve">，可改數值</x:t>
    </x:r>
  </x:si>
  <x:si>
    <x:r>
      <x:rPr>
        <x:i/>
        <x:sz val="11"/>
        <x:color rgb="FF808080"/>
        <x:rFont val="Noto Sans CJK SC"/>
        <x:family val="2"/>
      </x:rPr>
      <x:t xml:space="preserve">掉落格式：</x:t>
    </x:r>
    <x:r>
      <x:rPr>
        <x:i/>
        <x:sz val="11"/>
        <x:color rgb="FF808080"/>
        <x:rFont val="Arial"/>
      </x:rPr>
      <x:t xml:space="preserve">item_id;</x:t>
    </x:r>
    <x:r>
      <x:rPr>
        <x:i/>
        <x:sz val="11"/>
        <x:color rgb="FF808080"/>
        <x:rFont val="Noto Sans CJK SC"/>
        <x:family val="2"/>
      </x:rPr>
      <x:t xml:space="preserve">機率 用 </x:t>
    </x:r>
    <x:r>
      <x:rPr>
        <x:i/>
        <x:sz val="11"/>
        <x:color rgb="FF808080"/>
        <x:rFont val="Arial"/>
      </x:rPr>
      <x:t xml:space="preserve">| </x:t>
    </x:r>
    <x:r>
      <x:rPr>
        <x:i/>
        <x:sz val="11"/>
        <x:color rgb="FF808080"/>
        <x:rFont val="Noto Sans CJK SC"/>
        <x:family val="2"/>
      </x:rPr>
      <x:t xml:space="preserve">分隔多個。新增怪物複製一列即可。</x:t>
    </x:r>
  </x:si>
  <x:si>
    <x:r>
      <x:rPr>
        <x:b/>
        <x:sz val="14"/>
        <x:color rgb="FFC00000"/>
        <x:rFont val="Noto Sans CJK SC"/>
        <x:family val="2"/>
      </x:rPr>
      <x:t xml:space="preserve">世界事件（天災 </x:t>
    </x:r>
    <x:r>
      <x:rPr>
        <x:b/>
        <x:sz val="14"/>
        <x:color rgb="FFC00000"/>
        <x:rFont val="Arial"/>
      </x:rPr>
      <x:t xml:space="preserve">/ </x:t>
    </x:r>
    <x:r>
      <x:rPr>
        <x:b/>
        <x:sz val="14"/>
        <x:color rgb="FFC00000"/>
        <x:rFont val="Noto Sans CJK SC"/>
        <x:family val="2"/>
      </x:rPr>
      <x:t xml:space="preserve">怪物潮）</x:t>
    </x:r>
  </x:si>
  <x:si>
    <x:t xml:space="preserve">event_id</x:t>
  </x:si>
  <x:si>
    <x:t xml:space="preserve">觸發方式</x:t>
  </x:si>
  <x:si>
    <x:t xml:space="preserve">持續時間</x:t>
  </x:si>
  <x:si>
    <x:r>
      <x:rPr>
        <x:b/>
        <x:sz val="11"/>
        <x:color rgb="FFFFFFFF"/>
        <x:rFont val="Noto Sans CJK SC"/>
        <x:family val="2"/>
      </x:rPr>
      <x:t xml:space="preserve">間隔</x:t>
    </x:r>
    <x:r>
      <x:rPr>
        <x:b/>
        <x:sz val="11"/>
        <x:color rgb="FFFFFFFF"/>
        <x:rFont val="Arial"/>
      </x:rPr>
      <x:t xml:space="preserve">/</x:t>
    </x:r>
    <x:r>
      <x:rPr>
        <x:b/>
        <x:sz val="11"/>
        <x:color rgb="FFFFFFFF"/>
        <x:rFont val="Noto Sans CJK SC"/>
        <x:family val="2"/>
      </x:rPr>
      <x:t xml:space="preserve">冷卻</x:t>
    </x:r>
  </x:si>
  <x:si>
    <x:t xml:space="preserve">觸發機率</x:t>
  </x:si>
  <x:si>
    <x:t xml:space="preserve">怪物遭遇增幅</x:t>
  </x:si>
  <x:si>
    <x:t xml:space="preserve">遭遇怪物等級</x:t>
  </x:si>
  <x:si>
    <x:t xml:space="preserve">稀有怪機率</x:t>
  </x:si>
  <x:si>
    <x:t xml:space="preserve">特殊效果</x:t>
  </x:si>
  <x:si>
    <x:t xml:space="preserve">黑雲</x:t>
  </x:si>
  <x:si>
    <x:t xml:space="preserve">隨機飄移</x:t>
  </x:si>
  <x:si>
    <x:t xml:space="preserve">飄移中</x:t>
  </x:si>
  <x:si>
    <x:t xml:space="preserve">+30%</x:t>
  </x:si>
  <x:si>
    <x:r>
      <x:rPr>
        <x:sz val="11"/>
        <x:color rgb="FF0000FF"/>
        <x:rFont val="Arial"/>
      </x:rPr>
      <x:t xml:space="preserve">Lv3</x:t>
    </x:r>
    <x:r>
      <x:rPr>
        <x:sz val="11"/>
        <x:color rgb="FF0000FF"/>
        <x:rFont val="Noto Sans CJK SC"/>
        <x:family val="2"/>
      </x:rPr>
      <x:t xml:space="preserve">妖獸</x:t>
    </x:r>
  </x:si>
  <x:si>
    <x:r>
      <x:rPr>
        <x:sz val="11"/>
        <x:color rgb="FF000000"/>
        <x:rFont val="Noto Sans CJK SC"/>
        <x:family val="2"/>
      </x:rPr>
      <x:t xml:space="preserve">範圍內所有人『修為全失』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視同練氣</x:t>
    </x:r>
    <x:r>
      <x:rPr>
        <x:sz val="11"/>
        <x:color rgb="FF000000"/>
        <x:rFont val="Arial"/>
      </x:rPr>
      <x:t xml:space="preserve">5</x:t>
    </x:r>
    <x:r>
      <x:rPr>
        <x:sz val="11"/>
        <x:color rgb="FF000000"/>
        <x:rFont val="Noto Sans CJK SC"/>
        <x:family val="2"/>
      </x:rPr>
      <x:t xml:space="preserve">級，無境界加成</x:t>
    </x:r>
    <x:r>
      <x:rPr>
        <x:sz val="11"/>
        <x:color rgb="FF000000"/>
        <x:rFont val="Arial"/>
      </x:rPr>
      <x:t xml:space="preserve">)</x:t>
    </x:r>
  </x:si>
  <x:si>
    <x:t xml:space="preserve">最致命；古魔進入黑雲同樣受壓制</x:t>
  </x:si>
  <x:si>
    <x:r>
      <x:rPr>
        <x:sz val="11"/>
        <x:color rgb="FF0000FF"/>
        <x:rFont val="Noto Sans CJK SC"/>
        <x:family val="2"/>
      </x:rPr>
      <x:t xml:space="preserve">定時</x:t>
    </x:r>
    <x:r>
      <x:rPr>
        <x:sz val="11"/>
        <x:color rgb="FF0000FF"/>
        <x:rFont val="Arial"/>
      </x:rPr>
      <x:t xml:space="preserve">/</x:t>
    </x:r>
    <x:r>
      <x:rPr>
        <x:sz val="11"/>
        <x:color rgb="FF0000FF"/>
        <x:rFont val="Noto Sans CJK SC"/>
        <x:family val="2"/>
      </x:rPr>
      <x:t xml:space="preserve">隨機</x:t>
    </x:r>
  </x:si>
  <x:si>
    <x:t xml:space="preserve">一段時間</x:t>
  </x:si>
  <x:si>
    <x:t xml:space="preserve">+60%</x:t>
  </x:si>
  <x:si>
    <x:r>
      <x:rPr>
        <x:sz val="11"/>
        <x:color rgb="FF0000FF"/>
        <x:rFont val="Arial"/>
      </x:rPr>
      <x:t xml:space="preserve">Lv3–6</x:t>
    </x:r>
    <x:r>
      <x:rPr>
        <x:sz val="11"/>
        <x:color rgb="FF0000FF"/>
        <x:rFont val="Noto Sans CJK SC"/>
        <x:family val="2"/>
      </x:rPr>
      <x:t xml:space="preserve">妖獸</x:t>
    </x:r>
  </x:si>
  <x:si>
    <x:r>
      <x:rPr>
        <x:sz val="11"/>
        <x:color rgb="FF0000FF"/>
        <x:rFont val="Arial"/>
      </x:rPr>
      <x:t xml:space="preserve">5%</x:t>
    </x:r>
    <x:r>
      <x:rPr>
        <x:sz val="11"/>
        <x:color rgb="FF0000FF"/>
        <x:rFont val="Noto Sans CJK SC"/>
        <x:family val="2"/>
      </x:rPr>
      <x:t xml:space="preserve">遇</x:t>
    </x:r>
    <x:r>
      <x:rPr>
        <x:sz val="11"/>
        <x:color rgb="FF0000FF"/>
        <x:rFont val="Arial"/>
      </x:rPr>
      <x:t xml:space="preserve">Lv10–12</x:t>
    </x:r>
    <x:r>
      <x:rPr>
        <x:sz val="11"/>
        <x:color rgb="FF0000FF"/>
        <x:rFont val="Noto Sans CJK SC"/>
        <x:family val="2"/>
      </x:rPr>
      <x:t xml:space="preserve">妖王</x:t>
    </x:r>
  </x:si>
  <x:si>
    <x:t xml:space="preserve">大量妖獸來襲</x:t>
  </x:si>
  <x:si>
    <x:r>
      <x:rPr>
        <x:sz val="11"/>
        <x:color rgb="FF0000FF"/>
        <x:rFont val="Noto Sans CJK SC"/>
        <x:family val="2"/>
      </x:rPr>
      <x:t xml:space="preserve">大天劫</x:t>
    </x:r>
    <x:r>
      <x:rPr>
        <x:sz val="11"/>
        <x:color rgb="FF0000FF"/>
        <x:rFont val="Arial"/>
      </x:rPr>
      <x:t xml:space="preserve">(</x:t>
    </x:r>
    <x:r>
      <x:rPr>
        <x:sz val="11"/>
        <x:color rgb="FF0000FF"/>
        <x:rFont val="Noto Sans CJK SC"/>
        <x:family val="2"/>
      </x:rPr>
      <x:t xml:space="preserve">魔界降臨</x:t>
    </x:r>
    <x:r>
      <x:rPr>
        <x:sz val="11"/>
        <x:color rgb="FF0000FF"/>
        <x:rFont val="Arial"/>
      </x:rPr>
      <x:t xml:space="preserve">)</x:t>
    </x:r>
  </x:si>
  <x:si>
    <x:r>
      <x:rPr>
        <x:sz val="11"/>
        <x:color rgb="FF0000FF"/>
        <x:rFont val="Noto Sans CJK SC"/>
        <x:family val="2"/>
      </x:rPr>
      <x:t xml:space="preserve">定時</x:t>
    </x:r>
    <x:r>
      <x:rPr>
        <x:sz val="11"/>
        <x:color rgb="FF0000FF"/>
        <x:rFont val="Arial"/>
      </x:rPr>
      <x:t xml:space="preserve">+</x:t>
    </x:r>
    <x:r>
      <x:rPr>
        <x:sz val="11"/>
        <x:color rgb="FF0000FF"/>
        <x:rFont val="Noto Sans CJK SC"/>
        <x:family val="2"/>
      </x:rPr>
      <x:t xml:space="preserve">隨機</x:t>
    </x:r>
  </x:si>
  <x:si>
    <x:r>
      <x:rPr>
        <x:sz val="11"/>
        <x:color rgb="FF0000FF"/>
        <x:rFont val="Arial"/>
      </x:rPr>
      <x:t xml:space="preserve">4</x:t>
    </x:r>
    <x:r>
      <x:rPr>
        <x:sz val="11"/>
        <x:color rgb="FF0000FF"/>
        <x:rFont val="Noto Sans CJK SC"/>
        <x:family val="2"/>
      </x:rPr>
      <x:t xml:space="preserve">小時</x:t>
    </x:r>
  </x:si>
  <x:si>
    <x:r>
      <x:rPr>
        <x:sz val="11"/>
        <x:color rgb="FF0000FF"/>
        <x:rFont val="Noto Sans CJK SC"/>
        <x:family val="2"/>
      </x:rPr>
      <x:t xml:space="preserve">至少</x:t>
    </x:r>
    <x:r>
      <x:rPr>
        <x:sz val="11"/>
        <x:color rgb="FF0000FF"/>
        <x:rFont val="Arial"/>
      </x:rPr>
      <x:t xml:space="preserve">48</x:t>
    </x:r>
    <x:r>
      <x:rPr>
        <x:sz val="11"/>
        <x:color rgb="FF0000FF"/>
        <x:rFont val="Noto Sans CJK SC"/>
        <x:family val="2"/>
      </x:rPr>
      <x:t xml:space="preserve">小時</x:t>
    </x:r>
  </x:si>
  <x:si>
    <x:r>
      <x:rPr>
        <x:sz val="11"/>
        <x:color rgb="FF0000FF"/>
        <x:rFont val="Arial"/>
      </x:rPr>
      <x:t xml:space="preserve">48h</x:t>
    </x:r>
    <x:r>
      <x:rPr>
        <x:sz val="11"/>
        <x:color rgb="FF0000FF"/>
        <x:rFont val="Noto Sans CJK SC"/>
        <x:family val="2"/>
      </x:rPr>
      <x:t xml:space="preserve">後每小時</x:t>
    </x:r>
    <x:r>
      <x:rPr>
        <x:sz val="11"/>
        <x:color rgb="FF0000FF"/>
        <x:rFont val="Arial"/>
      </x:rPr>
      <x:t xml:space="preserve">20%</x:t>
    </x:r>
  </x:si>
  <x:si>
    <x:r>
      <x:rPr>
        <x:sz val="11"/>
        <x:color rgb="FF0000FF"/>
        <x:rFont val="Noto Sans CJK SC"/>
        <x:family val="2"/>
      </x:rPr>
      <x:t xml:space="preserve">全圖</x:t>
    </x:r>
    <x:r>
      <x:rPr>
        <x:sz val="11"/>
        <x:color rgb="FF0000FF"/>
        <x:rFont val="Arial"/>
      </x:rPr>
      <x:t xml:space="preserve">2%</x:t>
    </x:r>
  </x:si>
  <x:si>
    <x:r>
      <x:rPr>
        <x:sz val="11"/>
        <x:color rgb="FF0000FF"/>
        <x:rFont val="Arial"/>
      </x:rPr>
      <x:t xml:space="preserve">Lv12–14</x:t>
    </x:r>
    <x:r>
      <x:rPr>
        <x:sz val="11"/>
        <x:color rgb="FF0000FF"/>
        <x:rFont val="Noto Sans CJK SC"/>
        <x:family val="2"/>
      </x:rPr>
      <x:t xml:space="preserve">古魔</x:t>
    </x:r>
    <x:r>
      <x:rPr>
        <x:sz val="11"/>
        <x:color rgb="FF0000FF"/>
        <x:rFont val="Arial"/>
      </x:rPr>
      <x:t xml:space="preserve">(</x:t>
    </x:r>
    <x:r>
      <x:rPr>
        <x:sz val="11"/>
        <x:color rgb="FF0000FF"/>
        <x:rFont val="Noto Sans CJK SC"/>
        <x:family val="2"/>
      </x:rPr>
      <x:t xml:space="preserve">結丹</x:t>
    </x:r>
    <x:r>
      <x:rPr>
        <x:sz val="11"/>
        <x:color rgb="FF0000FF"/>
        <x:rFont val="Arial"/>
      </x:rPr>
      <x:t xml:space="preserve">)</x:t>
    </x:r>
  </x:si>
  <x:si>
    <x:r>
      <x:rPr>
        <x:sz val="11"/>
        <x:color rgb="FF000000"/>
        <x:rFont val="Arial"/>
      </x:rPr>
      <x:t xml:space="preserve">4</x:t>
    </x:r>
    <x:r>
      <x:rPr>
        <x:sz val="11"/>
        <x:color rgb="FF000000"/>
        <x:rFont val="Noto Sans CJK SC"/>
        <x:family val="2"/>
      </x:rPr>
      <x:t xml:space="preserve">小時後『仙人下凡』結束；</x:t>
    </x:r>
    <x:r>
      <x:rPr>
        <x:sz val="11"/>
        <x:color rgb="FF000000"/>
        <x:rFont val="Arial"/>
      </x:rPr>
      <x:t xml:space="preserve">15%</x:t>
    </x:r>
    <x:r>
      <x:rPr>
        <x:sz val="11"/>
        <x:color rgb="FF000000"/>
        <x:rFont val="Noto Sans CJK SC"/>
        <x:family val="2"/>
      </x:rPr>
      <x:t xml:space="preserve">機率古魔襲最強宗門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扣</x:t>
    </x:r>
    <x:r>
      <x:rPr>
        <x:sz val="11"/>
        <x:color rgb="FF000000"/>
        <x:rFont val="Arial"/>
      </x:rPr>
      <x:t xml:space="preserve">4</x:t>
    </x:r>
    <x:r>
      <x:rPr>
        <x:sz val="11"/>
        <x:color rgb="FF000000"/>
        <x:rFont val="Noto Sans CJK SC"/>
        <x:family val="2"/>
      </x:rPr>
      <x:t xml:space="preserve">日能量</x:t>
    </x:r>
    <x:r>
      <x:rPr>
        <x:sz val="11"/>
        <x:color rgb="FF000000"/>
        <x:rFont val="Arial"/>
      </x:rPr>
      <x:t xml:space="preserve">)</x:t>
    </x:r>
  </x:si>
  <x:si>
    <x:t xml:space="preserve">古魔在黑雲內受限；反壟斷事件</x:t>
  </x:si>
  <x:si>
    <x:r>
      <x:rPr>
        <x:b/>
        <x:sz val="14"/>
        <x:color rgb="FFC00000"/>
        <x:rFont val="Noto Sans CJK SC"/>
        <x:family val="2"/>
      </x:rPr>
      <x:t xml:space="preserve">地圖區域（單一世界，</x:t>
    </x:r>
    <x:r>
      <x:rPr>
        <x:b/>
        <x:sz val="14"/>
        <x:color rgb="FFC00000"/>
        <x:rFont val="Arial"/>
      </x:rPr>
      <x:t xml:space="preserve">10x10</x:t>
    </x:r>
    <x:r>
      <x:rPr>
        <x:b/>
        <x:sz val="14"/>
        <x:color rgb="FFC00000"/>
        <x:rFont val="Noto Sans CJK SC"/>
        <x:family val="2"/>
      </x:rPr>
      <x:t xml:space="preserve">）</x:t>
    </x:r>
  </x:si>
  <x:si>
    <x:r>
      <x:rPr>
        <x:i/>
        <x:sz val="11"/>
        <x:color rgb="FF808080"/>
        <x:rFont val="Noto Sans CJK SC"/>
        <x:family val="2"/>
      </x:rPr>
      <x:t xml:space="preserve">靈氣強度</x:t>
    </x:r>
    <x:r>
      <x:rPr>
        <x:i/>
        <x:sz val="11"/>
        <x:color rgb="FF808080"/>
        <x:rFont val="Arial"/>
      </x:rPr>
      <x:t xml:space="preserve">1-5</x:t>
    </x:r>
    <x:r>
      <x:rPr>
        <x:i/>
        <x:sz val="11"/>
        <x:color rgb="FF808080"/>
        <x:rFont val="Noto Sans CJK SC"/>
        <x:family val="2"/>
      </x:rPr>
      <x:t xml:space="preserve">決定回復倍率、打坐修煉</x:t>
    </x:r>
    <x:r>
      <x:rPr>
        <x:i/>
        <x:sz val="11"/>
        <x:color rgb="FF808080"/>
        <x:rFont val="Arial"/>
      </x:rPr>
      <x:t xml:space="preserve">EXP</x:t>
    </x:r>
    <x:r>
      <x:rPr>
        <x:i/>
        <x:sz val="11"/>
        <x:color rgb="FF808080"/>
        <x:rFont val="Noto Sans CJK SC"/>
        <x:family val="2"/>
      </x:rPr>
      <x:t xml:space="preserve">、突破加成。可開洞府</x:t>
    </x:r>
    <x:r>
      <x:rPr>
        <x:i/>
        <x:sz val="11"/>
        <x:color rgb="FF808080"/>
        <x:rFont val="Arial"/>
      </x:rPr>
      <x:t xml:space="preserve">=</x:t>
    </x:r>
    <x:r>
      <x:rPr>
        <x:i/>
        <x:sz val="11"/>
        <x:color rgb="FF808080"/>
        <x:rFont val="Noto Sans CJK SC"/>
        <x:family val="2"/>
      </x:rPr>
      <x:t xml:space="preserve">是者需用洞府鑿開設。新手村</x:t>
    </x:r>
    <x:r>
      <x:rPr>
        <x:i/>
        <x:sz val="11"/>
        <x:color rgb="FF808080"/>
        <x:rFont val="Arial"/>
      </x:rPr>
      <x:t xml:space="preserve">=</x:t>
    </x:r>
    <x:r>
      <x:rPr>
        <x:i/>
        <x:sz val="11"/>
        <x:color rgb="FF808080"/>
        <x:rFont val="Noto Sans CJK SC"/>
        <x:family val="2"/>
      </x:rPr>
      <x:t xml:space="preserve">是者僅</x:t>
    </x:r>
    <x:r>
      <x:rPr>
        <x:i/>
        <x:sz val="11"/>
        <x:color rgb="FF808080"/>
        <x:rFont val="Arial"/>
      </x:rPr>
      <x:t xml:space="preserve">Lv1-5</x:t>
    </x:r>
    <x:r>
      <x:rPr>
        <x:i/>
        <x:sz val="11"/>
        <x:color rgb="FF808080"/>
        <x:rFont val="Noto Sans CJK SC"/>
        <x:family val="2"/>
      </x:rPr>
      <x:t xml:space="preserve">可入、無主動遭遇、不可突破、怪物</x:t>
    </x:r>
    <x:r>
      <x:rPr>
        <x:i/>
        <x:sz val="11"/>
        <x:color rgb="FF808080"/>
        <x:rFont val="Arial"/>
      </x:rPr>
      <x:t xml:space="preserve">+20%</x:t>
    </x:r>
    <x:r>
      <x:rPr>
        <x:i/>
        <x:sz val="11"/>
        <x:color rgb="FF808080"/>
        <x:rFont val="Noto Sans CJK SC"/>
        <x:family val="2"/>
      </x:rPr>
      <x:t xml:space="preserve">、靈石</x:t>
    </x:r>
    <x:r>
      <x:rPr>
        <x:i/>
        <x:sz val="11"/>
        <x:color rgb="FF808080"/>
        <x:rFont val="Arial"/>
      </x:rPr>
      <x:t xml:space="preserve">+20%(</x:t>
    </x:r>
    <x:r>
      <x:rPr>
        <x:i/>
        <x:sz val="11"/>
        <x:color rgb="FF808080"/>
        <x:rFont val="Noto Sans CJK SC"/>
        <x:family val="2"/>
      </x:rPr>
      <x:t xml:space="preserve">綁定</x:t>
    </x:r>
    <x:r>
      <x:rPr>
        <x:i/>
        <x:sz val="11"/>
        <x:color rgb="FF808080"/>
        <x:rFont val="Arial"/>
      </x:rPr>
      <x:t xml:space="preserve">)</x:t>
    </x:r>
    <x:r>
      <x:rPr>
        <x:i/>
        <x:sz val="11"/>
        <x:color rgb="FF808080"/>
        <x:rFont val="Noto Sans CJK SC"/>
        <x:family val="2"/>
      </x:rPr>
      <x:t xml:space="preserve">。</x:t>
    </x:r>
  </x:si>
  <x:si>
    <x:t xml:space="preserve">zone_id</x:t>
  </x:si>
  <x:si>
    <x:t xml:space="preserve">座標</x:t>
  </x:si>
  <x:si>
    <x:t xml:space="preserve">區域名</x:t>
  </x:si>
  <x:si>
    <x:r>
      <x:rPr>
        <x:b/>
        <x:sz val="11"/>
        <x:color rgb="FFFFFFFF"/>
        <x:rFont val="Noto Sans CJK SC"/>
        <x:family val="2"/>
      </x:rPr>
      <x:t xml:space="preserve">可探索物品池</x:t>
    </x:r>
    <x:r>
      <x:rPr>
        <x:b/>
        <x:sz val="11"/>
        <x:color rgb="FFFFFFFF"/>
        <x:rFont val="Arial"/>
      </x:rPr>
      <x:t xml:space="preserve">(item_id;</x:t>
    </x:r>
    <x:r>
      <x:rPr>
        <x:b/>
        <x:sz val="11"/>
        <x:color rgb="FFFFFFFF"/>
        <x:rFont val="Noto Sans CJK SC"/>
        <x:family val="2"/>
      </x:rPr>
      <x:t xml:space="preserve">機率</x:t>
    </x:r>
    <x:r>
      <x:rPr>
        <x:b/>
        <x:sz val="11"/>
        <x:color rgb="FFFFFFFF"/>
        <x:rFont val="Arial"/>
      </x:rPr>
      <x:t xml:space="preserve">)</x:t>
    </x:r>
  </x:si>
  <x:si>
    <x:t xml:space="preserve">靈氣強度</x:t>
  </x:si>
  <x:si>
    <x:t xml:space="preserve">回復倍率</x:t>
  </x:si>
  <x:si>
    <x:r>
      <x:rPr>
        <x:b/>
        <x:sz val="11"/>
        <x:color rgb="FFFFFFFF"/>
        <x:rFont val="Noto Sans CJK SC"/>
        <x:family val="2"/>
      </x:rPr>
      <x:t xml:space="preserve">打坐</x:t>
    </x:r>
    <x:r>
      <x:rPr>
        <x:b/>
        <x:sz val="11"/>
        <x:color rgb="FFFFFFFF"/>
        <x:rFont val="Arial"/>
      </x:rPr>
      <x:t xml:space="preserve">EXP/</x:t>
    </x:r>
    <x:r>
      <x:rPr>
        <x:b/>
        <x:sz val="11"/>
        <x:color rgb="FFFFFFFF"/>
        <x:rFont val="Noto Sans CJK SC"/>
        <x:family val="2"/>
      </x:rPr>
      <x:t xml:space="preserve">時</x:t>
    </x:r>
  </x:si>
  <x:si>
    <x:r>
      <x:rPr>
        <x:b/>
        <x:sz val="11"/>
        <x:color rgb="FFFFFFFF"/>
        <x:rFont val="Noto Sans CJK SC"/>
        <x:family val="2"/>
      </x:rPr>
      <x:t xml:space="preserve">突破加成</x:t>
    </x:r>
    <x:r>
      <x:rPr>
        <x:b/>
        <x:sz val="11"/>
        <x:color rgb="FFFFFFFF"/>
        <x:rFont val="Arial"/>
      </x:rPr>
      <x:t xml:space="preserve">%</x:t>
    </x:r>
  </x:si>
  <x:si>
    <x:t xml:space="preserve">可開洞府</x:t>
  </x:si>
  <x:si>
    <x:t xml:space="preserve">新手村</x:t>
  </x:si>
  <x:si>
    <x:t xml:space="preserve">C-3</x:t>
  </x:si>
  <x:si>
    <x:t xml:space="preserve">青雲坊市</x:t>
  </x:si>
  <x:si>
    <x:t xml:space="preserve">坊市</x:t>
  </x:si>
  <x:si>
    <x:t xml:space="preserve">1001;0.4|1002;0.4|4001;0.2</x:t>
  </x:si>
  <x:si>
    <x:t xml:space="preserve">補給</x:t>
  </x:si>
  <x:si>
    <x:t xml:space="preserve">C-4</x:t>
  </x:si>
  <x:si>
    <x:t xml:space="preserve">傳訊台</x:t>
  </x:si>
  <x:si>
    <x:t xml:space="preserve">建築</x:t>
  </x:si>
  <x:si>
    <x:t xml:space="preserve">2004;0.3|4002;0.3|7001;0.05</x:t>
  </x:si>
  <x:si>
    <x:t xml:space="preserve">對應原作郵局</x:t>
  </x:si>
  <x:si>
    <x:t xml:space="preserve">C-5</x:t>
  </x:si>
  <x:si>
    <x:t xml:space="preserve">丹房</x:t>
  </x:si>
  <x:si>
    <x:t xml:space="preserve">1003;0.3|1004;0.3|7002;0.05</x:t>
  </x:si>
  <x:si>
    <x:t xml:space="preserve">煉丹處</x:t>
  </x:si>
  <x:si>
    <x:t xml:space="preserve">D-4</x:t>
  </x:si>
  <x:si>
    <x:t xml:space="preserve">靈泉</x:t>
  </x:si>
  <x:si>
    <x:t xml:space="preserve">靈地</x:t>
  </x:si>
  <x:si>
    <x:t xml:space="preserve">1002;0.5|4004;0.2</x:t>
  </x:si>
  <x:si>
    <x:r>
      <x:rPr>
        <x:sz val="11"/>
        <x:color rgb="FF000000"/>
        <x:rFont val="Noto Sans CJK SC"/>
        <x:family val="2"/>
      </x:rPr>
      <x:t xml:space="preserve">高靈氣，回精力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打坐佳</x:t>
    </x:r>
  </x:si>
  <x:si>
    <x:t xml:space="preserve">E-5</x:t>
  </x:si>
  <x:si>
    <x:t xml:space="preserve">中央秘境</x:t>
  </x:si>
  <x:si>
    <x:t xml:space="preserve">秘境</x:t>
  </x:si>
  <x:si>
    <x:t xml:space="preserve">4003;0.4|2002;0.05|5001;0.02|7003;0.03</x:t>
  </x:si>
  <x:si>
    <x:r>
      <x:rPr>
        <x:sz val="11"/>
        <x:color rgb="FF000000"/>
        <x:rFont val="Noto Sans CJK SC"/>
        <x:family val="2"/>
      </x:rPr>
      <x:t xml:space="preserve">高價值高風險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地圖中心</x:t>
    </x:r>
    <x:r>
      <x:rPr>
        <x:sz val="11"/>
        <x:color rgb="FF000000"/>
        <x:rFont val="Arial"/>
      </x:rPr>
      <x:t xml:space="preserve">)</x:t>
    </x:r>
  </x:si>
  <x:si>
    <x:t xml:space="preserve">F-2</x:t>
  </x:si>
  <x:si>
    <x:t xml:space="preserve">西村舊居</x:t>
  </x:si>
  <x:si>
    <x:t xml:space="preserve">廢墟</x:t>
  </x:si>
  <x:si>
    <x:t xml:space="preserve">2003;0.2|4002;0.3</x:t>
  </x:si>
  <x:si>
    <x:t xml:space="preserve">對應原作西村住宅街</x:t>
  </x:si>
  <x:si>
    <x:t xml:space="preserve">B-4</x:t>
  </x:si>
  <x:si>
    <x:t xml:space="preserve">北村舊居</x:t>
  </x:si>
  <x:si>
    <x:t xml:space="preserve">3001;0.2|4001;0.3</x:t>
  </x:si>
  <x:si>
    <x:t xml:space="preserve">對應原作北村住宅街</x:t>
  </x:si>
  <x:si>
    <x:t xml:space="preserve">G-6</x:t>
  </x:si>
  <x:si>
    <x:t xml:space="preserve">南嶽神祠</x:t>
  </x:si>
  <x:si>
    <x:t xml:space="preserve">6001;0.2|5002;0.1|4003;0.2</x:t>
  </x:si>
  <x:si>
    <x:t xml:space="preserve">符籙產出</x:t>
  </x:si>
  <x:si>
    <x:t xml:space="preserve">H-4</x:t>
  </x:si>
  <x:si>
    <x:t xml:space="preserve">迷霧林</x:t>
  </x:si>
  <x:si>
    <x:t xml:space="preserve">野外</x:t>
  </x:si>
  <x:si>
    <x:t xml:space="preserve">4001;0.5|4003;0.2</x:t>
  </x:si>
  <x:si>
    <x:t xml:space="preserve">妖獸出沒</x:t>
  </x:si>
  <x:si>
    <x:t xml:space="preserve">I-10</x:t>
  </x:si>
  <x:si>
    <x:t xml:space="preserve">鎮海燈塔</x:t>
  </x:si>
  <x:si>
    <x:t xml:space="preserve">2002;0.05|3002;0.05|4002;0.3</x:t>
  </x:si>
  <x:si>
    <x:t xml:space="preserve">角落稀有點</x:t>
  </x:si>
  <x:si>
    <x:t xml:space="preserve">A-6</x:t>
  </x:si>
  <x:si>
    <x:t xml:space="preserve">萬寶交易所</x:t>
  </x:si>
  <x:si>
    <x:r>
      <x:rPr>
        <x:sz val="11"/>
        <x:color rgb="FF0000FF"/>
        <x:rFont val="Noto Sans CJK SC"/>
        <x:family val="2"/>
      </x:rPr>
      <x:t xml:space="preserve">交易所</x:t>
    </x:r>
    <x:r>
      <x:rPr>
        <x:sz val="11"/>
        <x:color rgb="FF0000FF"/>
        <x:rFont val="Arial"/>
      </x:rPr>
      <x:t xml:space="preserve">(</x:t>
    </x:r>
    <x:r>
      <x:rPr>
        <x:sz val="11"/>
        <x:color rgb="FF0000FF"/>
        <x:rFont val="Noto Sans CJK SC"/>
        <x:family val="2"/>
      </x:rPr>
      <x:t xml:space="preserve">安全區</x:t>
    </x:r>
    <x:r>
      <x:rPr>
        <x:sz val="11"/>
        <x:color rgb="FF0000FF"/>
        <x:rFont val="Arial"/>
      </x:rPr>
      <x:t xml:space="preserve">)</x:t>
    </x:r>
  </x:si>
  <x:si>
    <x:r>
      <x:rPr>
        <x:sz val="11"/>
        <x:color rgb="FF000000"/>
        <x:rFont val="Noto Sans CJK SC"/>
        <x:family val="2"/>
      </x:rPr>
      <x:t xml:space="preserve">禁戰；</x:t>
    </x:r>
    <x:r>
      <x:rPr>
        <x:sz val="11"/>
        <x:color rgb="FF000000"/>
        <x:rFont val="Arial"/>
      </x:rPr>
      <x:t xml:space="preserve">NPC</x:t>
    </x:r>
    <x:r>
      <x:rPr>
        <x:sz val="11"/>
        <x:color rgb="FF000000"/>
        <x:rFont val="Noto Sans CJK SC"/>
        <x:family val="2"/>
      </x:rPr>
      <x:t xml:space="preserve">商店；停留逾</x:t>
    </x:r>
    <x:r>
      <x:rPr>
        <x:sz val="11"/>
        <x:color rgb="FF000000"/>
        <x:rFont val="Arial"/>
      </x:rPr>
      <x:t xml:space="preserve">2h</x:t>
    </x:r>
    <x:r>
      <x:rPr>
        <x:sz val="11"/>
        <x:color rgb="FF000000"/>
        <x:rFont val="Noto Sans CJK SC"/>
        <x:family val="2"/>
      </x:rPr>
      <x:t xml:space="preserve">強制傳送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見特殊區域規則</x:t>
    </x:r>
    <x:r>
      <x:rPr>
        <x:sz val="11"/>
        <x:color rgb="FF000000"/>
        <x:rFont val="Arial"/>
      </x:rPr>
      <x:t xml:space="preserve">)</x:t>
    </x:r>
  </x:si>
  <x:si>
    <x:t xml:space="preserve">A-1</x:t>
  </x:si>
  <x:si>
    <x:t xml:space="preserve">青牛谷</x:t>
  </x:si>
  <x:si>
    <x:t xml:space="preserve">1001;0.3|1002;0.3|4001;0.3</x:t>
  </x:si>
  <x:si>
    <x:r>
      <x:rPr>
        <x:sz val="11"/>
        <x:color rgb="FF000000"/>
        <x:rFont val="Noto Sans CJK SC"/>
        <x:family val="2"/>
      </x:rPr>
      <x:t xml:space="preserve">新手村：僅</x:t>
    </x:r>
    <x:r>
      <x:rPr>
        <x:sz val="11"/>
        <x:color rgb="FF000000"/>
        <x:rFont val="Arial"/>
      </x:rPr>
      <x:t xml:space="preserve">Lv1-5</x:t>
    </x:r>
    <x:r>
      <x:rPr>
        <x:sz val="11"/>
        <x:color rgb="FF000000"/>
        <x:rFont val="Noto Sans CJK SC"/>
        <x:family val="2"/>
      </x:rPr>
      <x:t xml:space="preserve">，不可突破，怪物</x:t>
    </x:r>
    <x:r>
      <x:rPr>
        <x:sz val="11"/>
        <x:color rgb="FF000000"/>
        <x:rFont val="Arial"/>
      </x:rPr>
      <x:t xml:space="preserve">+20%</x:t>
    </x:r>
    <x:r>
      <x:rPr>
        <x:sz val="11"/>
        <x:color rgb="FF000000"/>
        <x:rFont val="Noto Sans CJK SC"/>
        <x:family val="2"/>
      </x:rPr>
      <x:t xml:space="preserve">、靈石</x:t>
    </x:r>
    <x:r>
      <x:rPr>
        <x:sz val="11"/>
        <x:color rgb="FF000000"/>
        <x:rFont val="Arial"/>
      </x:rPr>
      <x:t xml:space="preserve">+20%(</x:t>
    </x:r>
    <x:r>
      <x:rPr>
        <x:sz val="11"/>
        <x:color rgb="FF000000"/>
        <x:rFont val="Noto Sans CJK SC"/>
        <x:family val="2"/>
      </x:rPr>
      <x:t xml:space="preserve">綁定</x:t>
    </x:r>
    <x:r>
      <x:rPr>
        <x:sz val="11"/>
        <x:color rgb="FF000000"/>
        <x:rFont val="Arial"/>
      </x:rPr>
      <x:t xml:space="preserve">)</x:t>
    </x:r>
  </x:si>
  <x:si>
    <x:t xml:space="preserve">J-2</x:t>
  </x:si>
  <x:si>
    <x:t xml:space="preserve">練氣坊</x:t>
  </x:si>
  <x:si>
    <x:r>
      <x:rPr>
        <x:sz val="11"/>
        <x:color rgb="FF000000"/>
        <x:rFont val="Noto Sans CJK SC"/>
        <x:family val="2"/>
      </x:rPr>
      <x:t xml:space="preserve">新手村：僅</x:t>
    </x:r>
    <x:r>
      <x:rPr>
        <x:sz val="11"/>
        <x:color rgb="FF000000"/>
        <x:rFont val="Arial"/>
      </x:rPr>
      <x:t xml:space="preserve">Lv1-5</x:t>
    </x:r>
    <x:r>
      <x:rPr>
        <x:sz val="11"/>
        <x:color rgb="FF000000"/>
        <x:rFont val="Noto Sans CJK SC"/>
        <x:family val="2"/>
      </x:rPr>
      <x:t xml:space="preserve">，不可突破</x:t>
    </x:r>
  </x:si>
  <x:si>
    <x:r>
      <x:rPr>
        <x:i/>
        <x:sz val="11"/>
        <x:color rgb="FF808080"/>
        <x:rFont val="Noto Sans CJK SC"/>
        <x:family val="2"/>
      </x:rPr>
      <x:t xml:space="preserve">物品池格式：</x:t>
    </x:r>
    <x:r>
      <x:rPr>
        <x:i/>
        <x:sz val="11"/>
        <x:color rgb="FF808080"/>
        <x:rFont val="Arial"/>
      </x:rPr>
      <x:t xml:space="preserve">item_id;</x:t>
    </x:r>
    <x:r>
      <x:rPr>
        <x:i/>
        <x:sz val="11"/>
        <x:color rgb="FF808080"/>
        <x:rFont val="Noto Sans CJK SC"/>
        <x:family val="2"/>
      </x:rPr>
      <x:t xml:space="preserve">機率 用 </x:t>
    </x:r>
    <x:r>
      <x:rPr>
        <x:i/>
        <x:sz val="11"/>
        <x:color rgb="FF808080"/>
        <x:rFont val="Arial"/>
      </x:rPr>
      <x:t xml:space="preserve">| </x:t>
    </x:r>
    <x:r>
      <x:rPr>
        <x:i/>
        <x:sz val="11"/>
        <x:color rgb="FF808080"/>
        <x:rFont val="Noto Sans CJK SC"/>
        <x:family val="2"/>
      </x:rPr>
      <x:t xml:space="preserve">分隔。空白＝不可探索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如交易所</x:t>
    </x:r>
    <x:r>
      <x:rPr>
        <x:i/>
        <x:sz val="11"/>
        <x:color rgb="FF808080"/>
        <x:rFont val="Arial"/>
      </x:rPr>
      <x:t xml:space="preserve">)</x:t>
    </x:r>
    <x:r>
      <x:rPr>
        <x:i/>
        <x:sz val="11"/>
        <x:color rgb="FF808080"/>
        <x:rFont val="Noto Sans CJK SC"/>
        <x:family val="2"/>
      </x:rPr>
      <x:t xml:space="preserve">。</x:t>
    </x:r>
  </x:si>
  <x:si>
    <x:t xml:space="preserve">特殊區域規則（交易所安全區）</x:t>
  </x:si>
  <x:si>
    <x:r>
      <x:rPr>
        <x:b/>
        <x:sz val="11"/>
        <x:color rgb="FFFFFFFF"/>
        <x:rFont val="Noto Sans CJK SC"/>
        <x:family val="2"/>
      </x:rPr>
      <x:t xml:space="preserve">規則 </x:t>
    </x:r>
    <x:r>
      <x:rPr>
        <x:b/>
        <x:sz val="11"/>
        <x:color rgb="FFFFFFFF"/>
        <x:rFont val="Arial"/>
      </x:rPr>
      <x:t xml:space="preserve">key</x:t>
    </x:r>
  </x:si>
  <x:si>
    <x:t xml:space="preserve">safe_zone_id</x:t>
  </x:si>
  <x:si>
    <x:r>
      <x:rPr>
        <x:sz val="11"/>
        <x:color rgb="FF000000"/>
        <x:rFont val="Noto Sans CJK SC"/>
        <x:family val="2"/>
      </x:rPr>
      <x:t xml:space="preserve">安全區 </x:t>
    </x:r>
    <x:r>
      <x:rPr>
        <x:sz val="11"/>
        <x:color rgb="FF000000"/>
        <x:rFont val="Arial"/>
      </x:rPr>
      <x:t xml:space="preserve">zone_id(</x:t>
    </x:r>
    <x:r>
      <x:rPr>
        <x:sz val="11"/>
        <x:color rgb="FF000000"/>
        <x:rFont val="Noto Sans CJK SC"/>
        <x:family val="2"/>
      </x:rPr>
      <x:t xml:space="preserve">萬寶交易所</x:t>
    </x:r>
    <x:r>
      <x:rPr>
        <x:sz val="11"/>
        <x:color rgb="FF000000"/>
        <x:rFont val="Arial"/>
      </x:rPr>
      <x:t xml:space="preserve">)</x:t>
    </x:r>
  </x:si>
  <x:si>
    <x:t xml:space="preserve">no_combat</x:t>
  </x:si>
  <x:si>
    <x:t xml:space="preserve">區域內禁止任何戰鬥行為</x:t>
  </x:si>
  <x:si>
    <x:t xml:space="preserve">max_stay_seconds</x:t>
  </x:si>
  <x:si>
    <x:r>
      <x:rPr>
        <x:sz val="11"/>
        <x:color rgb="FF000000"/>
        <x:rFont val="Noto Sans CJK SC"/>
        <x:family val="2"/>
      </x:rPr>
      <x:t xml:space="preserve">停留上限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含離線</x:t>
    </x:r>
    <x:r>
      <x:rPr>
        <x:sz val="11"/>
        <x:color rgb="FF000000"/>
        <x:rFont val="Arial"/>
      </x:rPr>
      <x:t xml:space="preserve">)</x:t>
    </x:r>
    <x:r>
      <x:rPr>
        <x:sz val="11"/>
        <x:color rgb="FF000000"/>
        <x:rFont val="Noto Sans CJK SC"/>
        <x:family val="2"/>
      </x:rPr>
      <x:t xml:space="preserve">：</x:t>
    </x:r>
    <x:r>
      <x:rPr>
        <x:sz val="11"/>
        <x:color rgb="FF000000"/>
        <x:rFont val="Arial"/>
      </x:rPr>
      <x:t xml:space="preserve">2</x:t>
    </x:r>
    <x:r>
      <x:rPr>
        <x:sz val="11"/>
        <x:color rgb="FF000000"/>
        <x:rFont val="Noto Sans CJK SC"/>
        <x:family val="2"/>
      </x:rPr>
      <x:t xml:space="preserve">小時</x:t>
    </x:r>
  </x:si>
  <x:si>
    <x:t xml:space="preserve">overstay_action</x:t>
  </x:si>
  <x:si>
    <x:t xml:space="preserve">隨機傳送</x:t>
  </x:si>
  <x:si>
    <x:t xml:space="preserve">逾時處置：傳送到任一地圖區域</x:t>
  </x:si>
  <x:si>
    <x:t xml:space="preserve">teleport_to_blackcloud_rate</x:t>
  </x:si>
  <x:si>
    <x:r>
      <x:rPr>
        <x:sz val="11"/>
        <x:color rgb="FF000000"/>
        <x:rFont val="Noto Sans CJK SC"/>
        <x:family val="2"/>
      </x:rPr>
      <x:t xml:space="preserve">逾時傳送時，</x:t>
    </x:r>
    <x:r>
      <x:rPr>
        <x:sz val="11"/>
        <x:color rgb="FF000000"/>
        <x:rFont val="Arial"/>
      </x:rPr>
      <x:t xml:space="preserve">20%</x:t>
    </x:r>
    <x:r>
      <x:rPr>
        <x:sz val="11"/>
        <x:color rgb="FF000000"/>
        <x:rFont val="Noto Sans CJK SC"/>
        <x:family val="2"/>
      </x:rPr>
      <x:t xml:space="preserve">直接傳往黑雲所在</x:t>
    </x:r>
  </x:si>
  <x:si>
    <x:t xml:space="preserve">has_npc_shop</x:t>
  </x:si>
  <x:si>
    <x:r>
      <x:rPr>
        <x:sz val="11"/>
        <x:color rgb="FF000000"/>
        <x:rFont val="Noto Sans CJK SC"/>
        <x:family val="2"/>
      </x:rPr>
      <x:t xml:space="preserve">設有 </x:t>
    </x:r>
    <x:r>
      <x:rPr>
        <x:sz val="11"/>
        <x:color rgb="FF000000"/>
        <x:rFont val="Arial"/>
      </x:rPr>
      <x:t xml:space="preserve">NPC </x:t>
    </x:r>
    <x:r>
      <x:rPr>
        <x:sz val="11"/>
        <x:color rgb="FF000000"/>
        <x:rFont val="Noto Sans CJK SC"/>
        <x:family val="2"/>
      </x:rPr>
      <x:t xml:space="preserve">商店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見 </x:t>
    </x:r>
    <x:r>
      <x:rPr>
        <x:sz val="11"/>
        <x:color rgb="FF000000"/>
        <x:rFont val="Arial"/>
      </x:rPr>
      <x:t xml:space="preserve">NPC</x:t>
    </x:r>
    <x:r>
      <x:rPr>
        <x:sz val="11"/>
        <x:color rgb="FF000000"/>
        <x:rFont val="Noto Sans CJK SC"/>
        <x:family val="2"/>
      </x:rPr>
      <x:t xml:space="preserve">商店 分頁</x:t>
    </x:r>
    <x:r>
      <x:rPr>
        <x:sz val="11"/>
        <x:color rgb="FF000000"/>
        <x:rFont val="Arial"/>
      </x:rPr>
      <x:t xml:space="preserve">)</x:t>
    </x:r>
  </x:si>
  <x:si>
    <x:r>
      <x:rPr>
        <x:b/>
        <x:sz val="14"/>
        <x:color rgb="FFC00000"/>
        <x:rFont val="Arial"/>
      </x:rPr>
      <x:t xml:space="preserve">NPC</x:t>
    </x:r>
    <x:r>
      <x:rPr>
        <x:b/>
        <x:sz val="14"/>
        <x:color rgb="FFC00000"/>
        <x:rFont val="Noto Sans CJK SC"/>
        <x:family val="2"/>
      </x:rPr>
      <x:t xml:space="preserve">商店（交易所販售清單）</x:t>
    </x:r>
  </x:si>
  <x:si>
    <x:t xml:space="preserve">shop_id</x:t>
  </x:si>
  <x:si>
    <x:t xml:space="preserve">NPC</x:t>
  </x:si>
  <x:si>
    <x:r>
      <x:rPr>
        <x:b/>
        <x:sz val="11"/>
        <x:color rgb="FFFFFFFF"/>
        <x:rFont val="Noto Sans CJK SC"/>
        <x:family val="2"/>
      </x:rPr>
      <x:t xml:space="preserve">售價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靈石</x:t>
    </x:r>
    <x:r>
      <x:rPr>
        <x:b/>
        <x:sz val="11"/>
        <x:color rgb="FFFFFFFF"/>
        <x:rFont val="Arial"/>
      </x:rPr>
      <x:t xml:space="preserve">)</x:t>
    </x:r>
  </x:si>
  <x:si>
    <x:t xml:space="preserve">每人每日限購</x:t>
  </x:si>
  <x:si>
    <x:t xml:space="preserve">坊市掌櫃</x:t>
  </x:si>
  <x:si>
    <x:t xml:space="preserve">基礎補給</x:t>
  </x:si>
  <x:si>
    <x:t xml:space="preserve">煉丹材料</x:t>
  </x:si>
  <x:si>
    <x:t xml:space="preserve">煉器材料</x:t>
  </x:si>
  <x:si>
    <x:t xml:space="preserve">洞府司掌事</x:t>
  </x:si>
  <x:si>
    <x:t xml:space="preserve">開洞府用</x:t>
  </x:si>
  <x:si>
    <x:r>
      <x:rPr>
        <x:sz val="11"/>
        <x:color rgb="FF000000"/>
        <x:rFont val="Noto Sans CJK SC"/>
        <x:family val="2"/>
      </x:rPr>
      <x:t xml:space="preserve">洞府陣法，單盤</x:t>
    </x:r>
    <x:r>
      <x:rPr>
        <x:sz val="11"/>
        <x:color rgb="FF000000"/>
        <x:rFont val="Arial"/>
      </x:rPr>
      <x:t xml:space="preserve">84</x:t>
    </x:r>
    <x:r>
      <x:rPr>
        <x:sz val="11"/>
        <x:color rgb="FF000000"/>
        <x:rFont val="Noto Sans CJK SC"/>
        <x:family val="2"/>
      </x:rPr>
      <x:t xml:space="preserve">小時</x:t>
    </x:r>
  </x:si>
  <x:si>
    <x:t xml:space="preserve">執法堂長老</x:t>
  </x:si>
  <x:si>
    <x:r>
      <x:rPr>
        <x:sz val="11"/>
        <x:color rgb="FF000000"/>
        <x:rFont val="Noto Sans CJK SC"/>
        <x:family val="2"/>
      </x:rPr>
      <x:t xml:space="preserve">立宗信物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築基以上可用</x:t>
    </x:r>
    <x:r>
      <x:rPr>
        <x:sz val="11"/>
        <x:color rgb="FF000000"/>
        <x:rFont val="Arial"/>
      </x:rPr>
      <x:t xml:space="preserve">)</x:t>
    </x:r>
  </x:si>
  <x:si>
    <x:t xml:space="preserve">鑄器坊師傅</x:t>
  </x:si>
  <x:si>
    <x:t xml:space="preserve">修復武器損壞</x:t>
  </x:si>
  <x:si>
    <x:t xml:space="preserve">修復防具損壞</x:t>
  </x:si>
  <x:si>
    <x:r>
      <x:rPr>
        <x:i/>
        <x:sz val="11"/>
        <x:color rgb="FF808080"/>
        <x:rFont val="Noto Sans CJK SC"/>
        <x:family val="2"/>
      </x:rPr>
      <x:t xml:space="preserve">新增販售品：複製一列，</x:t>
    </x:r>
    <x:r>
      <x:rPr>
        <x:i/>
        <x:sz val="11"/>
        <x:color rgb="FF808080"/>
        <x:rFont val="Arial"/>
      </x:rPr>
      <x:t xml:space="preserve">item_id </x:t>
    </x:r>
    <x:r>
      <x:rPr>
        <x:i/>
        <x:sz val="11"/>
        <x:color rgb="FF808080"/>
        <x:rFont val="Noto Sans CJK SC"/>
        <x:family val="2"/>
      </x:rPr>
      <x:t xml:space="preserve">需存在於物品表。</x:t>
    </x:r>
  </x:si>
  <x:si>
    <x:t xml:space="preserve">宗門職位</x:t>
  </x:si>
  <x:si>
    <x:r>
      <x:rPr>
        <x:i/>
        <x:sz val="11"/>
        <x:color rgb="FF808080"/>
        <x:rFont val="Noto Sans CJK SC"/>
        <x:family val="2"/>
      </x:rPr>
      <x:t xml:space="preserve">築基以上可成立宗門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需</x:t>
    </x:r>
    <x:r>
      <x:rPr>
        <x:i/>
        <x:sz val="11"/>
        <x:color rgb="FF808080"/>
        <x:rFont val="Arial"/>
      </x:rPr>
      <x:t xml:space="preserve">NPC</x:t>
    </x:r>
    <x:r>
      <x:rPr>
        <x:i/>
        <x:sz val="11"/>
        <x:color rgb="FF808080"/>
        <x:rFont val="Noto Sans CJK SC"/>
        <x:family val="2"/>
      </x:rPr>
      <x:t xml:space="preserve">購買『宗門大陣』</x:t>
    </x:r>
    <x:r>
      <x:rPr>
        <x:i/>
        <x:sz val="11"/>
        <x:color rgb="FF808080"/>
        <x:rFont val="Arial"/>
      </x:rPr>
      <x:t xml:space="preserve">8201)</x:t>
    </x:r>
    <x:r>
      <x:rPr>
        <x:i/>
        <x:sz val="11"/>
        <x:color rgb="FF808080"/>
        <x:rFont val="Noto Sans CJK SC"/>
        <x:family val="2"/>
      </x:rPr>
      <x:t xml:space="preserve">。太上老祖須元嬰；抽成＝門人擊殺怪物所得靈石的比例。</x:t>
    </x:r>
  </x:si>
  <x:si>
    <x:t xml:space="preserve">position_id</x:t>
  </x:si>
  <x:si>
    <x:t xml:space="preserve">職位</x:t>
  </x:si>
  <x:si>
    <x:t xml:space="preserve">境界要求</x:t>
  </x:si>
  <x:si>
    <x:r>
      <x:rPr>
        <x:b/>
        <x:sz val="11"/>
        <x:color rgb="FFFFFFFF"/>
        <x:rFont val="Noto Sans CJK SC"/>
        <x:family val="2"/>
      </x:rPr>
      <x:t xml:space="preserve">靈石抽成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門人擊殺</x:t>
    </x:r>
    <x:r>
      <x:rPr>
        <x:b/>
        <x:sz val="11"/>
        <x:color rgb="FFFFFFFF"/>
        <x:rFont val="Arial"/>
      </x:rPr>
      <x:t xml:space="preserve">)</x:t>
    </x:r>
  </x:si>
  <x:si>
    <x:t xml:space="preserve">人數上限</x:t>
  </x:si>
  <x:si>
    <x:t xml:space="preserve">權限</x:t>
  </x:si>
  <x:si>
    <x:t xml:space="preserve">太上老祖</x:t>
  </x:si>
  <x:si>
    <x:t xml:space="preserve">元嬰</x:t>
  </x:si>
  <x:si>
    <x:t xml:space="preserve">象徵最高、鎮壓</x:t>
  </x:si>
  <x:si>
    <x:r>
      <x:rPr>
        <x:sz val="11"/>
        <x:color rgb="FF000000"/>
        <x:rFont val="Noto Sans CJK SC"/>
        <x:family val="2"/>
      </x:rPr>
      <x:t xml:space="preserve">須元嬰；抽門人打怪靈石</x:t>
    </x:r>
    <x:r>
      <x:rPr>
        <x:sz val="11"/>
        <x:color rgb="FF000000"/>
        <x:rFont val="Arial"/>
      </x:rPr>
      <x:t xml:space="preserve">3%</x:t>
    </x:r>
  </x:si>
  <x:si>
    <x:t xml:space="preserve">宗主</x:t>
  </x:si>
  <x:si>
    <x:t xml:space="preserve">築基或結丹</x:t>
  </x:si>
  <x:si>
    <x:t xml:space="preserve">管理、研發心法、選領地</x:t>
  </x:si>
  <x:si>
    <x:r>
      <x:rPr>
        <x:sz val="11"/>
        <x:color rgb="FF000000"/>
        <x:rFont val="Noto Sans CJK SC"/>
        <x:family val="2"/>
      </x:rPr>
      <x:t xml:space="preserve">立宗者；抽</x:t>
    </x:r>
    <x:r>
      <x:rPr>
        <x:sz val="11"/>
        <x:color rgb="FF000000"/>
        <x:rFont val="Arial"/>
      </x:rPr>
      <x:t xml:space="preserve">1.5%</x:t>
    </x:r>
  </x:si>
  <x:si>
    <x:t xml:space="preserve">長老</x:t>
  </x:si>
  <x:si>
    <x:t xml:space="preserve">築基以上</x:t>
  </x:si>
  <x:si>
    <x:t xml:space="preserve">任免內門、開任務</x:t>
  </x:si>
  <x:si>
    <x:t xml:space="preserve">執事</x:t>
  </x:si>
  <x:si>
    <x:t xml:space="preserve">不限</x:t>
  </x:si>
  <x:si>
    <x:t xml:space="preserve">管理倉庫、發放物資</x:t>
  </x:si>
  <x:si>
    <x:t xml:space="preserve">內門弟子</x:t>
  </x:si>
  <x:si>
    <x:t xml:space="preserve">領任務、進修煉室</x:t>
  </x:si>
  <x:si>
    <x:t xml:space="preserve">外門弟子</x:t>
  </x:si>
  <x:si>
    <x:t xml:space="preserve">基本成員</x:t>
  </x:si>
  <x:si>
    <x:t xml:space="preserve">入門</x:t>
  </x:si>
  <x:si>
    <x:t xml:space="preserve">宗門科研（心法／陣法研發）</x:t>
  </x:si>
  <x:si>
    <x:t xml:space="preserve">宗主研發並選擇啟用；消耗宗門能量。攻擊心法強化全門人；洞府延時延長門人洞府陣盤時效。</x:t>
  </x:si>
  <x:si>
    <x:t xml:space="preserve">科研線</x:t>
  </x:si>
  <x:si>
    <x:t xml:space="preserve">階</x:t>
  </x:si>
  <x:si>
    <x:t xml:space="preserve">加成</x:t>
  </x:si>
  <x:si>
    <x:r>
      <x:rPr>
        <x:b/>
        <x:sz val="11"/>
        <x:color rgb="FFFFFFFF"/>
        <x:rFont val="Noto Sans CJK SC"/>
        <x:family val="2"/>
      </x:rPr>
      <x:t xml:space="preserve">研發消耗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宗門能量</x:t>
    </x:r>
    <x:r>
      <x:rPr>
        <x:b/>
        <x:sz val="11"/>
        <x:color rgb="FFFFFFFF"/>
        <x:rFont val="Arial"/>
      </x:rPr>
      <x:t xml:space="preserve">)</x:t>
    </x:r>
  </x:si>
  <x:si>
    <x:t xml:space="preserve">攻擊心法</x:t>
  </x:si>
  <x:si>
    <x:r>
      <x:rPr>
        <x:sz val="11"/>
        <x:color rgb="FF0000FF"/>
        <x:rFont val="Noto Sans CJK SC"/>
        <x:family val="2"/>
      </x:rPr>
      <x:t xml:space="preserve">全門人攻擊</x:t>
    </x:r>
    <x:r>
      <x:rPr>
        <x:sz val="11"/>
        <x:color rgb="FF0000FF"/>
        <x:rFont val="Arial"/>
      </x:rPr>
      <x:t xml:space="preserve">%</x:t>
    </x:r>
  </x:si>
  <x:si>
    <x:r>
      <x:rPr>
        <x:sz val="11"/>
        <x:color rgb="FF000000"/>
        <x:rFont val="Noto Sans CJK SC"/>
        <x:family val="2"/>
      </x:rPr>
      <x:t xml:space="preserve">所有門人攻擊</x:t>
    </x:r>
    <x:r>
      <x:rPr>
        <x:sz val="11"/>
        <x:color rgb="FF000000"/>
        <x:rFont val="Arial"/>
      </x:rPr>
      <x:t xml:space="preserve">+2%</x:t>
    </x:r>
  </x:si>
  <x:si>
    <x:r>
      <x:rPr>
        <x:sz val="11"/>
        <x:color rgb="FF000000"/>
        <x:rFont val="Noto Sans CJK SC"/>
        <x:family val="2"/>
      </x:rPr>
      <x:t xml:space="preserve">攻擊</x:t>
    </x:r>
    <x:r>
      <x:rPr>
        <x:sz val="11"/>
        <x:color rgb="FF000000"/>
        <x:rFont val="Arial"/>
      </x:rPr>
      <x:t xml:space="preserve">+4%</x:t>
    </x:r>
  </x:si>
  <x:si>
    <x:r>
      <x:rPr>
        <x:sz val="11"/>
        <x:color rgb="FF000000"/>
        <x:rFont val="Noto Sans CJK SC"/>
        <x:family val="2"/>
      </x:rPr>
      <x:t xml:space="preserve">攻擊</x:t>
    </x:r>
    <x:r>
      <x:rPr>
        <x:sz val="11"/>
        <x:color rgb="FF000000"/>
        <x:rFont val="Arial"/>
      </x:rPr>
      <x:t xml:space="preserve">+6%</x:t>
    </x:r>
  </x:si>
  <x:si>
    <x:t xml:space="preserve">洞府延時</x:t>
  </x:si>
  <x:si>
    <x:r>
      <x:rPr>
        <x:sz val="11"/>
        <x:color rgb="FF0000FF"/>
        <x:rFont val="Noto Sans CJK SC"/>
        <x:family val="2"/>
      </x:rPr>
      <x:t xml:space="preserve">洞府陣盤時效</x:t>
    </x:r>
    <x:r>
      <x:rPr>
        <x:sz val="11"/>
        <x:color rgb="FF0000FF"/>
        <x:rFont val="Arial"/>
      </x:rPr>
      <x:t xml:space="preserve">%</x:t>
    </x:r>
  </x:si>
  <x:si>
    <x:r>
      <x:rPr>
        <x:sz val="11"/>
        <x:color rgb="FF000000"/>
        <x:rFont val="Noto Sans CJK SC"/>
        <x:family val="2"/>
      </x:rPr>
      <x:t xml:space="preserve">洞府陣盤有效時間</x:t>
    </x:r>
    <x:r>
      <x:rPr>
        <x:sz val="11"/>
        <x:color rgb="FF000000"/>
        <x:rFont val="Arial"/>
      </x:rPr>
      <x:t xml:space="preserve">+10%</x:t>
    </x:r>
  </x:si>
  <x:si>
    <x:t xml:space="preserve">+15%</x:t>
  </x:si>
  <x:si>
    <x:t xml:space="preserve">+20%</x:t>
  </x:si>
  <x:si>
    <x:t xml:space="preserve">宗門能量與領地</x:t>
  </x:si>
  <x:si>
    <x:r>
      <x:rPr>
        <x:i/>
        <x:sz val="11"/>
        <x:color rgb="FF808080"/>
        <x:rFont val="Noto Sans CJK SC"/>
        <x:family val="2"/>
      </x:rPr>
      <x:t xml:space="preserve">能量＝門人擊殺怪物</x:t>
    </x:r>
    <x:r>
      <x:rPr>
        <x:i/>
        <x:sz val="11"/>
        <x:color rgb="FF808080"/>
        <x:rFont val="Arial"/>
      </x:rPr>
      <x:t xml:space="preserve">EXP</x:t>
    </x:r>
    <x:r>
      <x:rPr>
        <x:i/>
        <x:sz val="11"/>
        <x:color rgb="FF808080"/>
        <x:rFont val="Noto Sans CJK SC"/>
        <x:family val="2"/>
      </x:rPr>
      <x:t xml:space="preserve">的</x:t>
    </x:r>
    <x:r>
      <x:rPr>
        <x:i/>
        <x:sz val="11"/>
        <x:color rgb="FF808080"/>
        <x:rFont val="Arial"/>
      </x:rPr>
      <x:t xml:space="preserve">1%</x:t>
    </x:r>
    <x:r>
      <x:rPr>
        <x:i/>
        <x:sz val="11"/>
        <x:color rgb="FF808080"/>
        <x:rFont val="Noto Sans CJK SC"/>
        <x:family val="2"/>
      </x:rPr>
      <x:t xml:space="preserve">注入，每日固定消耗，歸零則宗門滅亡。領地加成隨宗門等級提升。</x:t>
    </x:r>
  </x:si>
  <x:si>
    <x:t xml:space="preserve">【宗門領地加成（依宗門等級）】</x:t>
  </x:si>
  <x:si>
    <x:t xml:space="preserve">宗門等級</x:t>
  </x:si>
  <x:si>
    <x:t xml:space="preserve">領地格內數值加成</x:t>
  </x:si>
  <x:si>
    <x:r>
      <x:rPr>
        <x:b/>
        <x:sz val="11"/>
        <x:color rgb="FFFFFFFF"/>
        <x:rFont val="Noto Sans CJK SC"/>
        <x:family val="2"/>
      </x:rPr>
      <x:t xml:space="preserve">升級消耗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宗門能量</x:t>
    </x:r>
    <x:r>
      <x:rPr>
        <x:b/>
        <x:sz val="11"/>
        <x:color rgb="FFFFFFFF"/>
        <x:rFont val="Arial"/>
      </x:rPr>
      <x:t xml:space="preserve">)</x:t>
    </x:r>
  </x:si>
  <x:si>
    <x:r>
      <x:rPr>
        <x:sz val="11"/>
        <x:color rgb="FF000000"/>
        <x:rFont val="Noto Sans CJK SC"/>
        <x:family val="2"/>
      </x:rPr>
      <x:t xml:space="preserve">門人在宗門領地格內數值</x:t>
    </x:r>
    <x:r>
      <x:rPr>
        <x:sz val="11"/>
        <x:color rgb="FF000000"/>
        <x:rFont val="Arial"/>
      </x:rPr>
      <x:t xml:space="preserve">+5%</x:t>
    </x:r>
  </x:si>
  <x:si>
    <x:t xml:space="preserve">+7%</x:t>
  </x:si>
  <x:si>
    <x:t xml:space="preserve">+9%</x:t>
  </x:si>
  <x:si>
    <x:t xml:space="preserve">【能量與規則參數】</x:t>
  </x:si>
  <x:si>
    <x:t xml:space="preserve">參數</x:t>
  </x:si>
  <x:si>
    <x:t xml:space="preserve">成立境界要求</x:t>
  </x:si>
  <x:si>
    <x:r>
      <x:rPr>
        <x:sz val="11"/>
        <x:color rgb="FF000000"/>
        <x:rFont val="Arial"/>
      </x:rPr>
      <x:t xml:space="preserve">Lv6+ </x:t>
    </x:r>
    <x:r>
      <x:rPr>
        <x:sz val="11"/>
        <x:color rgb="FF000000"/>
        <x:rFont val="Noto Sans CJK SC"/>
        <x:family val="2"/>
      </x:rPr>
      <x:t xml:space="preserve">可成立宗門</x:t>
    </x:r>
  </x:si>
  <x:si>
    <x:t xml:space="preserve">成立信物</x:t>
  </x:si>
  <x:si>
    <x:r>
      <x:rPr>
        <x:sz val="11"/>
        <x:color rgb="FF0000FF"/>
        <x:rFont val="Noto Sans CJK SC"/>
        <x:family val="2"/>
      </x:rPr>
      <x:t xml:space="preserve">宗門大陣</x:t>
    </x:r>
    <x:r>
      <x:rPr>
        <x:sz val="11"/>
        <x:color rgb="FF0000FF"/>
        <x:rFont val="Arial"/>
      </x:rPr>
      <x:t xml:space="preserve">(item 8201)</x:t>
    </x:r>
  </x:si>
  <x:si>
    <x:r>
      <x:rPr>
        <x:sz val="11"/>
        <x:color rgb="FF000000"/>
        <x:rFont val="Arial"/>
      </x:rPr>
      <x:t xml:space="preserve">NPC</x:t>
    </x:r>
    <x:r>
      <x:rPr>
        <x:sz val="11"/>
        <x:color rgb="FF000000"/>
        <x:rFont val="Noto Sans CJK SC"/>
        <x:family val="2"/>
      </x:rPr>
      <x:t xml:space="preserve">購買</x:t>
    </x:r>
  </x:si>
  <x:si>
    <x:t xml:space="preserve">能量成長率</x:t>
  </x:si>
  <x:si>
    <x:r>
      <x:rPr>
        <x:sz val="11"/>
        <x:color rgb="FF000000"/>
        <x:rFont val="Noto Sans CJK SC"/>
        <x:family val="2"/>
      </x:rPr>
      <x:t xml:space="preserve">門人擊殺怪物所得</x:t>
    </x:r>
    <x:r>
      <x:rPr>
        <x:sz val="11"/>
        <x:color rgb="FF000000"/>
        <x:rFont val="Arial"/>
      </x:rPr>
      <x:t xml:space="preserve">EXP × 1% </x:t>
    </x:r>
    <x:r>
      <x:rPr>
        <x:sz val="11"/>
        <x:color rgb="FF000000"/>
        <x:rFont val="Noto Sans CJK SC"/>
        <x:family val="2"/>
      </x:rPr>
      <x:t xml:space="preserve">注入宗門能量</x:t>
    </x:r>
  </x:si>
  <x:si>
    <x:t xml:space="preserve">每日消耗</x:t>
  </x:si>
  <x:si>
    <x:r>
      <x:rPr>
        <x:sz val="11"/>
        <x:color rgb="FF000000"/>
        <x:rFont val="Noto Sans CJK SC"/>
        <x:family val="2"/>
      </x:rPr>
      <x:t xml:space="preserve">每日固定消耗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可調；後續可改為依門人數放大</x:t>
    </x:r>
    <x:r>
      <x:rPr>
        <x:sz val="11"/>
        <x:color rgb="FF000000"/>
        <x:rFont val="Arial"/>
      </x:rPr>
      <x:t xml:space="preserve">)</x:t>
    </x:r>
  </x:si>
  <x:si>
    <x:t xml:space="preserve">能量歸零</x:t>
  </x:si>
  <x:si>
    <x:t xml:space="preserve">宗門滅亡</x:t>
  </x:si>
  <x:si>
    <x:t xml:space="preserve">消耗殆盡即自動解散</x:t>
  </x:si>
  <x:si>
    <x:t xml:space="preserve">大天劫襲擊機率</x:t>
  </x:si>
  <x:si>
    <x:r>
      <x:rPr>
        <x:sz val="11"/>
        <x:color rgb="FF000000"/>
        <x:rFont val="Noto Sans CJK SC"/>
        <x:family val="2"/>
      </x:rPr>
      <x:t xml:space="preserve">大天劫時</x:t>
    </x:r>
    <x:r>
      <x:rPr>
        <x:sz val="11"/>
        <x:color rgb="FF000000"/>
        <x:rFont val="Arial"/>
      </x:rPr>
      <x:t xml:space="preserve">15%</x:t>
    </x:r>
    <x:r>
      <x:rPr>
        <x:sz val="11"/>
        <x:color rgb="FF000000"/>
        <x:rFont val="Noto Sans CJK SC"/>
        <x:family val="2"/>
      </x:rPr>
      <x:t xml:space="preserve">發生：古魔攻擊最強宗門</x:t>
    </x:r>
  </x:si>
  <x:si>
    <x:t xml:space="preserve">古魔襲擊損失</x:t>
  </x:si>
  <x:si>
    <x:r>
      <x:rPr>
        <x:sz val="11"/>
        <x:color rgb="FF0000FF"/>
        <x:rFont val="Noto Sans CJK SC"/>
        <x:family val="2"/>
      </x:rPr>
      <x:t xml:space="preserve">每日消耗</x:t>
    </x:r>
    <x:r>
      <x:rPr>
        <x:sz val="11"/>
        <x:color rgb="FF0000FF"/>
        <x:rFont val="Arial"/>
      </x:rPr>
      <x:t xml:space="preserve">×4</x:t>
    </x:r>
  </x:si>
  <x:si>
    <x:r>
      <x:rPr>
        <x:sz val="11"/>
        <x:color rgb="FF000000"/>
        <x:rFont val="Noto Sans CJK SC"/>
        <x:family val="2"/>
      </x:rPr>
      <x:t xml:space="preserve">相當於</x:t>
    </x:r>
    <x:r>
      <x:rPr>
        <x:sz val="11"/>
        <x:color rgb="FF000000"/>
        <x:rFont val="Arial"/>
      </x:rPr>
      <x:t xml:space="preserve">4</x:t>
    </x:r>
    <x:r>
      <x:rPr>
        <x:sz val="11"/>
        <x:color rgb="FF000000"/>
        <x:rFont val="Noto Sans CJK SC"/>
        <x:family val="2"/>
      </x:rPr>
      <x:t xml:space="preserve">日能量額度，防一宗獨大</x:t>
    </x:r>
  </x:si>
  <x:si>
    <x:t xml:space="preserve">屬性附魔表（武器／防具）</x:t>
  </x:si>
  <x:si>
    <x:r>
      <x:rPr>
        <x:i/>
        <x:sz val="11"/>
        <x:color rgb="FF808080"/>
        <x:rFont val="Noto Sans CJK SC"/>
        <x:family val="2"/>
      </x:rPr>
      <x:t xml:space="preserve">基礎武器</x:t>
    </x:r>
    <x:r>
      <x:rPr>
        <x:i/>
        <x:sz val="11"/>
        <x:color rgb="FF808080"/>
        <x:rFont val="Arial"/>
      </x:rPr>
      <x:t xml:space="preserve">/</x:t>
    </x:r>
    <x:r>
      <x:rPr>
        <x:i/>
        <x:sz val="11"/>
        <x:color rgb="FF808080"/>
        <x:rFont val="Noto Sans CJK SC"/>
        <x:family val="2"/>
      </x:rPr>
      <x:t xml:space="preserve">防具 </x:t>
    </x:r>
    <x:r>
      <x:rPr>
        <x:i/>
        <x:sz val="11"/>
        <x:color rgb="FF808080"/>
        <x:rFont val="Arial"/>
      </x:rPr>
      <x:t xml:space="preserve">+ </x:t>
    </x:r>
    <x:r>
      <x:rPr>
        <x:i/>
        <x:sz val="11"/>
        <x:color rgb="FF808080"/>
        <x:rFont val="Noto Sans CJK SC"/>
        <x:family val="2"/>
      </x:rPr>
      <x:t xml:space="preserve">附魔材料 → 屬性裝備。成功率＝所用附魔材料貢獻總和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同屬性可疊加，上限</x:t>
    </x:r>
    <x:r>
      <x:rPr>
        <x:i/>
        <x:sz val="11"/>
        <x:color rgb="FF808080"/>
        <x:rFont val="Arial"/>
      </x:rPr>
      <x:t xml:space="preserve">100%)</x:t>
    </x:r>
    <x:r>
      <x:rPr>
        <x:i/>
        <x:sz val="11"/>
        <x:color rgb="FF808080"/>
        <x:rFont val="Noto Sans CJK SC"/>
        <x:family val="2"/>
      </x:rPr>
      <x:t xml:space="preserve">；失敗則材料消耗、裝備維持原樣。防具合成方式同武器。</x:t>
    </x:r>
  </x:si>
  <x:si>
    <x:t xml:space="preserve">【武器屬性效果】</x:t>
  </x:si>
  <x:si>
    <x:t xml:space="preserve">屬性</x:t>
  </x:si>
  <x:si>
    <x:t xml:space="preserve">武器追加傷害</x:t>
  </x:si>
  <x:si>
    <x:t xml:space="preserve">附加規則</x:t>
  </x:si>
  <x:si>
    <x:t xml:space="preserve">火</x:t>
  </x:si>
  <x:si>
    <x:r>
      <x:rPr>
        <x:sz val="11"/>
        <x:color rgb="FF0000FF"/>
        <x:rFont val="Noto Sans CJK SC"/>
        <x:family val="2"/>
      </x:rPr>
      <x:t xml:space="preserve">追加傷害 </x:t>
    </x:r>
    <x:r>
      <x:rPr>
        <x:sz val="11"/>
        <x:color rgb="FF0000FF"/>
        <x:rFont val="Arial"/>
      </x:rPr>
      <x:t xml:space="preserve">+6%</x:t>
    </x:r>
  </x:si>
  <x:si>
    <x:t xml:space="preserve">純追加傷害</x:t>
  </x:si>
  <x:si>
    <x:t xml:space="preserve">冰</x:t>
  </x:si>
  <x:si>
    <x:r>
      <x:rPr>
        <x:sz val="11"/>
        <x:color rgb="FF0000FF"/>
        <x:rFont val="Noto Sans CJK SC"/>
        <x:family val="2"/>
      </x:rPr>
      <x:t xml:space="preserve">追加傷害 </x:t>
    </x:r>
    <x:r>
      <x:rPr>
        <x:sz val="11"/>
        <x:color rgb="FF0000FF"/>
        <x:rFont val="Arial"/>
      </x:rPr>
      <x:t xml:space="preserve">+3%</x:t>
    </x:r>
  </x:si>
  <x:si>
    <x:r>
      <x:rPr>
        <x:sz val="11"/>
        <x:color rgb="FF000000"/>
        <x:rFont val="Noto Sans CJK SC"/>
        <x:family val="2"/>
      </x:rPr>
      <x:t xml:space="preserve">攻方每擊額外扣法力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系統參數 </x:t>
    </x:r>
    <x:r>
      <x:rPr>
        <x:sz val="11"/>
        <x:color rgb="FF000000"/>
        <x:rFont val="Arial"/>
      </x:rPr>
      <x:t xml:space="preserve">ice_extra_mp_cost)</x:t>
    </x:r>
  </x:si>
  <x:si>
    <x:t xml:space="preserve">冰耗法力</x:t>
  </x:si>
  <x:si>
    <x:t xml:space="preserve">雷</x:t>
  </x:si>
  <x:si>
    <x:r>
      <x:rPr>
        <x:sz val="11"/>
        <x:color rgb="FF0000FF"/>
        <x:rFont val="Arial"/>
      </x:rPr>
      <x:t xml:space="preserve">15%</x:t>
    </x:r>
    <x:r>
      <x:rPr>
        <x:sz val="11"/>
        <x:color rgb="FF0000FF"/>
        <x:rFont val="Noto Sans CJK SC"/>
        <x:family val="2"/>
      </x:rPr>
      <x:t xml:space="preserve">機率暴擊，暴擊追加</x:t>
    </x:r>
    <x:r>
      <x:rPr>
        <x:sz val="11"/>
        <x:color rgb="FF0000FF"/>
        <x:rFont val="Arial"/>
      </x:rPr>
      <x:t xml:space="preserve">+50%</x:t>
    </x:r>
  </x:si>
  <x:si>
    <x:t xml:space="preserve">機率觸發</x:t>
  </x:si>
  <x:si>
    <x:t xml:space="preserve">爆發型</x:t>
  </x:si>
  <x:si>
    <x:t xml:space="preserve">毒</x:t>
  </x:si>
  <x:si>
    <x:r>
      <x:rPr>
        <x:sz val="11"/>
        <x:color rgb="FF0000FF"/>
        <x:rFont val="Noto Sans CJK SC"/>
        <x:family val="2"/>
      </x:rPr>
      <x:t xml:space="preserve">命中即施加『中毒』</x:t>
    </x:r>
    <x:r>
      <x:rPr>
        <x:sz val="11"/>
        <x:color rgb="FF0000FF"/>
        <x:rFont val="Arial"/>
      </x:rPr>
      <x:t xml:space="preserve">(</x:t>
    </x:r>
    <x:r>
      <x:rPr>
        <x:sz val="11"/>
        <x:color rgb="FF0000FF"/>
        <x:rFont val="Noto Sans CJK SC"/>
        <x:family val="2"/>
      </x:rPr>
      <x:t xml:space="preserve">每回合扣體力，見狀態效果</x:t>
    </x:r>
    <x:r>
      <x:rPr>
        <x:sz val="11"/>
        <x:color rgb="FF0000FF"/>
        <x:rFont val="Arial"/>
      </x:rPr>
      <x:t xml:space="preserve">)</x:t>
    </x:r>
  </x:si>
  <x:si>
    <x:t xml:space="preserve">持續生效</x:t>
  </x:si>
  <x:si>
    <x:t xml:space="preserve">持續傷害型</x:t>
  </x:si>
  <x:si>
    <x:t xml:space="preserve">【防具屬性效果（對應屬性減免追加傷害）】</x:t>
  </x:si>
  <x:si>
    <x:t xml:space="preserve">屬性防禦率</x:t>
  </x:si>
  <x:si>
    <x:t xml:space="preserve">規則</x:t>
  </x:si>
  <x:si>
    <x:r>
      <x:rPr>
        <x:sz val="11"/>
        <x:color rgb="FF000000"/>
        <x:rFont val="Noto Sans CJK SC"/>
        <x:family val="2"/>
      </x:rPr>
      <x:t xml:space="preserve">守方防具屬性</x:t>
    </x:r>
    <x:r>
      <x:rPr>
        <x:sz val="11"/>
        <x:color rgb="FF000000"/>
        <x:rFont val="Arial"/>
      </x:rPr>
      <x:t xml:space="preserve">==</x:t>
    </x:r>
    <x:r>
      <x:rPr>
        <x:sz val="11"/>
        <x:color rgb="FF000000"/>
        <x:rFont val="Noto Sans CJK SC"/>
        <x:family val="2"/>
      </x:rPr>
      <x:t xml:space="preserve">攻方武器火屬性時，火追加傷害</x:t>
    </x:r>
    <x:r>
      <x:rPr>
        <x:sz val="11"/>
        <x:color rgb="FF000000"/>
        <x:rFont val="Arial"/>
      </x:rPr>
      <x:t xml:space="preserve">×(1-60%)</x:t>
    </x:r>
  </x:si>
  <x:si>
    <x:t xml:space="preserve">對冰追加傷害同理減免</x:t>
  </x:si>
  <x:si>
    <x:t xml:space="preserve">對雷暴擊追加同理減免</x:t>
  </x:si>
  <x:si>
    <x:r>
      <x:rPr>
        <x:sz val="11"/>
        <x:color rgb="FF000000"/>
        <x:rFont val="Noto Sans CJK SC"/>
        <x:family val="2"/>
      </x:rPr>
      <x:t xml:space="preserve">減免毒追加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地圖毒；穿戴≥</x:t>
    </x:r>
    <x:r>
      <x:rPr>
        <x:sz val="11"/>
        <x:color rgb="FF000000"/>
        <x:rFont val="Arial"/>
      </x:rPr>
      <x:t xml:space="preserve">2</x:t>
    </x:r>
    <x:r>
      <x:rPr>
        <x:sz val="11"/>
        <x:color rgb="FF000000"/>
        <x:rFont val="Noto Sans CJK SC"/>
        <x:family val="2"/>
      </x:rPr>
      <x:t xml:space="preserve">件毒屬性防具→免疫地圖毒</x:t>
    </x:r>
    <x:r>
      <x:rPr>
        <x:sz val="11"/>
        <x:color rgb="FF000000"/>
        <x:rFont val="Arial"/>
      </x:rPr>
      <x:t xml:space="preserve">(1</x:t>
    </x:r>
    <x:r>
      <x:rPr>
        <x:sz val="11"/>
        <x:color rgb="FF000000"/>
        <x:rFont val="Noto Sans CJK SC"/>
        <x:family val="2"/>
      </x:rPr>
      <x:t xml:space="preserve">件毒傷減半</x:t>
    </x:r>
    <x:r>
      <x:rPr>
        <x:sz val="11"/>
        <x:color rgb="FF000000"/>
        <x:rFont val="Arial"/>
      </x:rPr>
      <x:t xml:space="preserve">)</x:t>
    </x:r>
  </x:si>
  <x:si>
    <x:r>
      <x:rPr>
        <x:i/>
        <x:sz val="11"/>
        <x:color rgb="FF808080"/>
        <x:rFont val="Noto Sans CJK SC"/>
        <x:family val="2"/>
      </x:rPr>
      <x:t xml:space="preserve">屬性不對應時：全額承受追加傷害。屬性防禦率為建議值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藍字可改</x:t>
    </x:r>
    <x:r>
      <x:rPr>
        <x:i/>
        <x:sz val="11"/>
        <x:color rgb="FF808080"/>
        <x:rFont val="Arial"/>
      </x:rPr>
      <x:t xml:space="preserve">)</x:t>
    </x:r>
    <x:r>
      <x:rPr>
        <x:i/>
        <x:sz val="11"/>
        <x:color rgb="FF808080"/>
        <x:rFont val="Noto Sans CJK SC"/>
        <x:family val="2"/>
      </x:rPr>
      <x:t xml:space="preserve">。</x:t>
    </x:r>
  </x:si>
  <x:si>
    <x:t xml:space="preserve">【附魔材料（成功率貢獻）】</x:t>
  </x:si>
  <x:si>
    <x:r>
      <x:rPr>
        <x:b/>
        <x:sz val="11"/>
        <x:color rgb="FFFFFFFF"/>
        <x:rFont val="Noto Sans CJK SC"/>
        <x:family val="2"/>
      </x:rPr>
      <x:t xml:space="preserve">材料</x:t>
    </x:r>
    <x:r>
      <x:rPr>
        <x:b/>
        <x:sz val="11"/>
        <x:color rgb="FFFFFFFF"/>
        <x:rFont val="Arial"/>
      </x:rPr>
      <x:t xml:space="preserve">item_id</x:t>
    </x:r>
  </x:si>
  <x:si>
    <x:t xml:space="preserve">成功率貢獻</x:t>
  </x:si>
  <x:si>
    <x:t xml:space="preserve">可疊加</x:t>
  </x:si>
  <x:si>
    <x:t xml:space="preserve">耐久與損壞（武器／防具）</x:t>
  </x:si>
  <x:si>
    <x:r>
      <x:rPr>
        <x:i/>
        <x:sz val="11"/>
        <x:color rgb="FF808080"/>
        <x:rFont val="Noto Sans CJK SC"/>
        <x:family val="2"/>
      </x:rPr>
      <x:t xml:space="preserve">損壞達上限＝完全損壞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消失</x:t>
    </x:r>
    <x:r>
      <x:rPr>
        <x:i/>
        <x:sz val="11"/>
        <x:color rgb="FF808080"/>
        <x:rFont val="Arial"/>
      </x:rPr>
      <x:t xml:space="preserve">)</x:t>
    </x:r>
    <x:r>
      <x:rPr>
        <x:i/>
        <x:sz val="11"/>
        <x:color rgb="FF808080"/>
        <x:rFont val="Noto Sans CJK SC"/>
        <x:family val="2"/>
      </x:rPr>
      <x:t xml:space="preserve">；即毀＝該次攻擊直接破壞消失。修復材料每個修復</x:t>
    </x:r>
    <x:r>
      <x:rPr>
        <x:i/>
        <x:sz val="11"/>
        <x:color rgb="FF808080"/>
        <x:rFont val="Arial"/>
      </x:rPr>
      <x:t xml:space="preserve">1</x:t>
    </x:r>
    <x:r>
      <x:rPr>
        <x:i/>
        <x:sz val="11"/>
        <x:color rgb="FF808080"/>
        <x:rFont val="Noto Sans CJK SC"/>
        <x:family val="2"/>
      </x:rPr>
      <x:t xml:space="preserve">次損壞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已消失者不可修</x:t>
    </x:r>
    <x:r>
      <x:rPr>
        <x:i/>
        <x:sz val="11"/>
        <x:color rgb="FF808080"/>
        <x:rFont val="Arial"/>
      </x:rPr>
      <x:t xml:space="preserve">)</x:t>
    </x:r>
    <x:r>
      <x:rPr>
        <x:i/>
        <x:sz val="11"/>
        <x:color rgb="FF808080"/>
        <x:rFont val="Noto Sans CJK SC"/>
        <x:family val="2"/>
      </x:rPr>
      <x:t xml:space="preserve">。飛劍實際倍率</x:t>
    </x:r>
    <x:r>
      <x:rPr>
        <x:i/>
        <x:sz val="11"/>
        <x:color rgb="FF808080"/>
        <x:rFont val="Arial"/>
      </x:rPr>
      <x:t xml:space="preserve">=1.5−0.1×</x:t>
    </x:r>
    <x:r>
      <x:rPr>
        <x:i/>
        <x:sz val="11"/>
        <x:color rgb="FF808080"/>
        <x:rFont val="Noto Sans CJK SC"/>
        <x:family val="2"/>
      </x:rPr>
      <x:t xml:space="preserve">損壞次數。對古魔損壞率與飛劍相關值為建議值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藍字可改</x:t>
    </x:r>
    <x:r>
      <x:rPr>
        <x:i/>
        <x:sz val="11"/>
        <x:color rgb="FF808080"/>
        <x:rFont val="Arial"/>
      </x:rPr>
      <x:t xml:space="preserve">)</x:t>
    </x:r>
    <x:r>
      <x:rPr>
        <x:i/>
        <x:sz val="11"/>
        <x:color rgb="FF808080"/>
        <x:rFont val="Noto Sans CJK SC"/>
        <x:family val="2"/>
      </x:rPr>
      <x:t xml:space="preserve">。</x:t>
    </x:r>
  </x:si>
  <x:si>
    <x:t xml:space="preserve">定位</x:t>
  </x:si>
  <x:si>
    <x:t xml:space="preserve">攻擊倍率</x:t>
  </x:si>
  <x:si>
    <x:t xml:space="preserve">每損壞倍率遞減</x:t>
  </x:si>
  <x:si>
    <x:t xml:space="preserve">一般損壞機率</x:t>
  </x:si>
  <x:si>
    <x:t xml:space="preserve">對古魔損壞機率</x:t>
  </x:si>
  <x:si>
    <x:r>
      <x:rPr>
        <x:b/>
        <x:sz val="11"/>
        <x:color rgb="FFFFFFFF"/>
        <x:rFont val="Noto Sans CJK SC"/>
        <x:family val="2"/>
      </x:rPr>
      <x:t xml:space="preserve">損壞上限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達即毀</x:t>
    </x:r>
    <x:r>
      <x:rPr>
        <x:b/>
        <x:sz val="11"/>
        <x:color rgb="FFFFFFFF"/>
        <x:rFont val="Arial"/>
      </x:rPr>
      <x:t xml:space="preserve">)</x:t>
    </x:r>
  </x:si>
  <x:si>
    <x:r>
      <x:rPr>
        <x:b/>
        <x:sz val="11"/>
        <x:color rgb="FFFFFFFF"/>
        <x:rFont val="Noto Sans CJK SC"/>
        <x:family val="2"/>
      </x:rPr>
      <x:t xml:space="preserve">即毀機率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一般</x:t>
    </x:r>
    <x:r>
      <x:rPr>
        <x:b/>
        <x:sz val="11"/>
        <x:color rgb="FFFFFFFF"/>
        <x:rFont val="Arial"/>
      </x:rPr>
      <x:t xml:space="preserve">)</x:t>
    </x:r>
  </x:si>
  <x:si>
    <x:r>
      <x:rPr>
        <x:b/>
        <x:sz val="11"/>
        <x:color rgb="FFFFFFFF"/>
        <x:rFont val="Noto Sans CJK SC"/>
        <x:family val="2"/>
      </x:rPr>
      <x:t xml:space="preserve">即毀機率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古魔</x:t>
    </x:r>
    <x:r>
      <x:rPr>
        <x:b/>
        <x:sz val="11"/>
        <x:color rgb="FFFFFFFF"/>
        <x:rFont val="Arial"/>
      </x:rPr>
      <x:t xml:space="preserve">)</x:t>
    </x:r>
  </x:si>
  <x:si>
    <x:t xml:space="preserve">近戰</x:t>
  </x:si>
  <x:si>
    <x:t xml:space="preserve">無倍率、耐用</x:t>
  </x:si>
  <x:si>
    <x:t xml:space="preserve">遠程</x:t>
  </x:si>
  <x:si>
    <x:t xml:space="preserve">高爆發、易損</x:t>
  </x:si>
  <x:si>
    <x:t xml:space="preserve">每擊必損</x:t>
  </x:si>
  <x:si>
    <x:t xml:space="preserve">較脆；古魔每擊必損＋高即毀</x:t>
  </x:si>
  <x:si>
    <x:t xml:space="preserve">傷害計算公式</x:t>
  </x:si>
  <x:si>
    <x:r>
      <x:rPr>
        <x:sz val="11"/>
        <x:rFont val="Noto Sans CJK SC"/>
        <x:family val="2"/>
      </x:rPr>
      <x:t xml:space="preserve">① 命中：先擲 </x:t>
    </x:r>
    <x:r>
      <x:rPr>
        <x:sz val="11"/>
        <x:rFont val="Arial"/>
      </x:rPr>
      <x:t xml:space="preserve">miss(</x:t>
    </x:r>
    <x:r>
      <x:rPr>
        <x:sz val="11"/>
        <x:rFont val="Noto Sans CJK SC"/>
        <x:family val="2"/>
      </x:rPr>
      <x:t xml:space="preserve">系統參數 </x:t>
    </x:r>
    <x:r>
      <x:rPr>
        <x:sz val="11"/>
        <x:rFont val="Arial"/>
      </x:rPr>
      <x:t xml:space="preserve">encounter_miss_rate)</x:t>
    </x:r>
    <x:r>
      <x:rPr>
        <x:sz val="11"/>
        <x:rFont val="Noto Sans CJK SC"/>
        <x:family val="2"/>
      </x:rPr>
      <x:t xml:space="preserve">；</x:t>
    </x:r>
    <x:r>
      <x:rPr>
        <x:sz val="11"/>
        <x:rFont val="Arial"/>
      </x:rPr>
      <x:t xml:space="preserve">miss </x:t>
    </x:r>
    <x:r>
      <x:rPr>
        <x:sz val="11"/>
        <x:rFont val="Noto Sans CJK SC"/>
        <x:family val="2"/>
      </x:rPr>
      <x:t xml:space="preserve">則本次傷害為 </x:t>
    </x:r>
    <x:r>
      <x:rPr>
        <x:sz val="11"/>
        <x:rFont val="Arial"/>
      </x:rPr>
      <x:t xml:space="preserve">0</x:t>
    </x:r>
    <x:r>
      <x:rPr>
        <x:sz val="11"/>
        <x:rFont val="Noto Sans CJK SC"/>
        <x:family val="2"/>
      </x:rPr>
      <x:t xml:space="preserve">。</x:t>
    </x:r>
  </x:si>
  <x:si>
    <x:r>
      <x:rPr>
        <x:sz val="11"/>
        <x:rFont val="Noto Sans CJK SC"/>
        <x:family val="2"/>
      </x:rPr>
      <x:t xml:space="preserve">② 總攻擊 </x:t>
    </x:r>
    <x:r>
      <x:rPr>
        <x:sz val="11"/>
        <x:rFont val="Arial"/>
      </x:rPr>
      <x:t xml:space="preserve">= </x:t>
    </x:r>
    <x:r>
      <x:rPr>
        <x:sz val="11"/>
        <x:rFont val="Noto Sans CJK SC"/>
        <x:family val="2"/>
      </x:rPr>
      <x:t xml:space="preserve">境界攻擊 </x:t>
    </x:r>
    <x:r>
      <x:rPr>
        <x:sz val="11"/>
        <x:rFont val="Arial"/>
      </x:rPr>
      <x:t xml:space="preserve">+ </x:t>
    </x:r>
    <x:r>
      <x:rPr>
        <x:sz val="11"/>
        <x:rFont val="Noto Sans CJK SC"/>
        <x:family val="2"/>
      </x:rPr>
      <x:t xml:space="preserve">武器攻擊 </x:t>
    </x:r>
    <x:r>
      <x:rPr>
        <x:sz val="11"/>
        <x:rFont val="Arial"/>
      </x:rPr>
      <x:t xml:space="preserve">+ </x:t>
    </x:r>
    <x:r>
      <x:rPr>
        <x:sz val="11"/>
        <x:rFont val="Noto Sans CJK SC"/>
        <x:family val="2"/>
      </x:rPr>
      <x:t xml:space="preserve">強化加成 </x:t>
    </x:r>
    <x:r>
      <x:rPr>
        <x:sz val="11"/>
        <x:rFont val="Arial"/>
      </x:rPr>
      <x:t xml:space="preserve">+ </x:t>
    </x:r>
    <x:r>
      <x:rPr>
        <x:sz val="11"/>
        <x:rFont val="Noto Sans CJK SC"/>
        <x:family val="2"/>
      </x:rPr>
      <x:t xml:space="preserve">屬性追加傷害</x:t>
    </x:r>
  </x:si>
  <x:si>
    <x:r>
      <x:rPr>
        <x:sz val="11"/>
        <x:rFont val="Noto Sans CJK SC"/>
        <x:family val="2"/>
      </x:rPr>
      <x:t xml:space="preserve">③ 總防禦 </x:t>
    </x:r>
    <x:r>
      <x:rPr>
        <x:sz val="11"/>
        <x:rFont val="Arial"/>
      </x:rPr>
      <x:t xml:space="preserve">= </x:t>
    </x:r>
    <x:r>
      <x:rPr>
        <x:sz val="11"/>
        <x:rFont val="Noto Sans CJK SC"/>
        <x:family val="2"/>
      </x:rPr>
      <x:t xml:space="preserve">境界防禦 </x:t>
    </x:r>
    <x:r>
      <x:rPr>
        <x:sz val="11"/>
        <x:rFont val="Arial"/>
      </x:rPr>
      <x:t xml:space="preserve">+ </x:t>
    </x:r>
    <x:r>
      <x:rPr>
        <x:sz val="11"/>
        <x:rFont val="Noto Sans CJK SC"/>
        <x:family val="2"/>
      </x:rPr>
      <x:t xml:space="preserve">防具防禦 </x:t>
    </x:r>
    <x:r>
      <x:rPr>
        <x:sz val="11"/>
        <x:rFont val="Arial"/>
      </x:rPr>
      <x:t xml:space="preserve">+ </x:t>
    </x:r>
    <x:r>
      <x:rPr>
        <x:sz val="11"/>
        <x:rFont val="Noto Sans CJK SC"/>
        <x:family val="2"/>
      </x:rPr>
      <x:t xml:space="preserve">強化加成</x:t>
    </x:r>
  </x:si>
  <x:si>
    <x:r>
      <x:rPr>
        <x:sz val="11"/>
        <x:rFont val="Noto Sans CJK SC"/>
        <x:family val="2"/>
      </x:rPr>
      <x:t xml:space="preserve">④ 基礎傷害 </x:t>
    </x:r>
    <x:r>
      <x:rPr>
        <x:sz val="11"/>
        <x:rFont val="Arial"/>
      </x:rPr>
      <x:t xml:space="preserve">= [</x:t>
    </x:r>
    <x:r>
      <x:rPr>
        <x:sz val="11"/>
        <x:rFont val="Noto Sans CJK SC"/>
        <x:family val="2"/>
      </x:rPr>
      <x:t xml:space="preserve">總攻擊 </x:t>
    </x:r>
    <x:r>
      <x:rPr>
        <x:sz val="11"/>
        <x:rFont val="Arial"/>
      </x:rPr>
      <x:t xml:space="preserve">× </x:t>
    </x:r>
    <x:r>
      <x:rPr>
        <x:sz val="11"/>
        <x:rFont val="Noto Sans CJK SC"/>
        <x:family val="2"/>
      </x:rPr>
      <x:t xml:space="preserve">總攻擊 </x:t>
    </x:r>
    <x:r>
      <x:rPr>
        <x:sz val="11"/>
        <x:rFont val="Arial"/>
      </x:rPr>
      <x:t xml:space="preserve">÷ (</x:t>
    </x:r>
    <x:r>
      <x:rPr>
        <x:sz val="11"/>
        <x:rFont val="Noto Sans CJK SC"/>
        <x:family val="2"/>
      </x:rPr>
      <x:t xml:space="preserve">總攻擊 </x:t>
    </x:r>
    <x:r>
      <x:rPr>
        <x:sz val="11"/>
        <x:rFont val="Arial"/>
      </x:rPr>
      <x:t xml:space="preserve">+ </x:t>
    </x:r>
    <x:r>
      <x:rPr>
        <x:sz val="11"/>
        <x:rFont val="Noto Sans CJK SC"/>
        <x:family val="2"/>
      </x:rPr>
      <x:t xml:space="preserve">總防禦 </x:t>
    </x:r>
    <x:r>
      <x:rPr>
        <x:sz val="11"/>
        <x:rFont val="Arial"/>
      </x:rPr>
      <x:t xml:space="preserve">× </x:t>
    </x:r>
    <x:r>
      <x:rPr>
        <x:sz val="11"/>
        <x:rFont val="Noto Sans CJK SC"/>
        <x:family val="2"/>
      </x:rPr>
      <x:t xml:space="preserve">防禦係數</x:t>
    </x:r>
    <x:r>
      <x:rPr>
        <x:sz val="11"/>
        <x:rFont val="Arial"/>
      </x:rPr>
      <x:t xml:space="preserve">)] × </x:t>
    </x:r>
    <x:r>
      <x:rPr>
        <x:sz val="11"/>
        <x:rFont val="Noto Sans CJK SC"/>
        <x:family val="2"/>
      </x:rPr>
      <x:t xml:space="preserve">武器倍率</x:t>
    </x:r>
  </x:si>
  <x:si>
    <x:r>
      <x:rPr>
        <x:sz val="11"/>
        <x:rFont val="Noto Sans CJK SC"/>
        <x:family val="2"/>
      </x:rPr>
      <x:t xml:space="preserve">     ↑ 此式讓防禦隨等級自動平衡：防禦</x:t>
    </x:r>
    <x:r>
      <x:rPr>
        <x:sz val="11"/>
        <x:rFont val="Arial"/>
      </x:rPr>
      <x:t xml:space="preserve">=</x:t>
    </x:r>
    <x:r>
      <x:rPr>
        <x:sz val="11"/>
        <x:rFont val="Noto Sans CJK SC"/>
        <x:family val="2"/>
      </x:rPr>
      <x:t xml:space="preserve">攻擊時約減傷</x:t>
    </x:r>
    <x:r>
      <x:rPr>
        <x:sz val="11"/>
        <x:rFont val="Arial"/>
      </x:rPr>
      <x:t xml:space="preserve">50%</x:t>
    </x:r>
    <x:r>
      <x:rPr>
        <x:sz val="11"/>
        <x:rFont val="Noto Sans CJK SC"/>
        <x:family val="2"/>
      </x:rPr>
      <x:t xml:space="preserve">；防具越厚減傷越多但永不到</x:t>
    </x:r>
    <x:r>
      <x:rPr>
        <x:sz val="11"/>
        <x:rFont val="Arial"/>
      </x:rPr>
      <x:t xml:space="preserve">100%</x:t>
    </x:r>
    <x:r>
      <x:rPr>
        <x:sz val="11"/>
        <x:rFont val="Noto Sans CJK SC"/>
        <x:family val="2"/>
      </x:rPr>
      <x:t xml:space="preserve">。</x:t>
    </x:r>
  </x:si>
  <x:si>
    <x:r>
      <x:rPr>
        <x:sz val="11"/>
        <x:rFont val="Noto Sans CJK SC"/>
        <x:family val="2"/>
      </x:rPr>
      <x:t xml:space="preserve">     防禦係數在系統參數可調</x:t>
    </x:r>
    <x:r>
      <x:rPr>
        <x:sz val="11"/>
        <x:rFont val="Arial"/>
      </x:rPr>
      <x:t xml:space="preserve">(</x:t>
    </x:r>
    <x:r>
      <x:rPr>
        <x:sz val="11"/>
        <x:rFont val="Noto Sans CJK SC"/>
        <x:family val="2"/>
      </x:rPr>
      <x:t xml:space="preserve">預設</x:t>
    </x:r>
    <x:r>
      <x:rPr>
        <x:sz val="11"/>
        <x:rFont val="Arial"/>
      </x:rPr>
      <x:t xml:space="preserve">1.5</x:t>
    </x:r>
    <x:r>
      <x:rPr>
        <x:sz val="11"/>
        <x:rFont val="Noto Sans CJK SC"/>
        <x:family val="2"/>
      </x:rPr>
      <x:t xml:space="preserve">，越高防具越有用</x:t>
    </x:r>
    <x:r>
      <x:rPr>
        <x:sz val="11"/>
        <x:rFont val="Arial"/>
      </x:rPr>
      <x:t xml:space="preserve">)</x:t>
    </x:r>
    <x:r>
      <x:rPr>
        <x:sz val="11"/>
        <x:rFont val="Noto Sans CJK SC"/>
        <x:family val="2"/>
      </x:rPr>
      <x:t xml:space="preserve">。</x:t>
    </x:r>
  </x:si>
  <x:si>
    <x:r>
      <x:rPr>
        <x:sz val="11"/>
        <x:rFont val="Noto Sans CJK SC"/>
        <x:family val="2"/>
      </x:rPr>
      <x:t xml:space="preserve">     武器倍率：長劍</x:t>
    </x:r>
    <x:r>
      <x:rPr>
        <x:sz val="11"/>
        <x:rFont val="Arial"/>
      </x:rPr>
      <x:t xml:space="preserve">×1.0</x:t>
    </x:r>
    <x:r>
      <x:rPr>
        <x:sz val="11"/>
        <x:rFont val="Noto Sans CJK SC"/>
        <x:family val="2"/>
      </x:rPr>
      <x:t xml:space="preserve">；飛劍</x:t>
    </x:r>
    <x:r>
      <x:rPr>
        <x:sz val="11"/>
        <x:rFont val="Arial"/>
      </x:rPr>
      <x:t xml:space="preserve">×1.5(</x:t>
    </x:r>
    <x:r>
      <x:rPr>
        <x:sz val="11"/>
        <x:rFont val="Noto Sans CJK SC"/>
        <x:family val="2"/>
      </x:rPr>
      <x:t xml:space="preserve">每損壞</x:t>
    </x:r>
    <x:r>
      <x:rPr>
        <x:sz val="11"/>
        <x:rFont val="Arial"/>
      </x:rPr>
      <x:t xml:space="preserve">1</x:t>
    </x:r>
    <x:r>
      <x:rPr>
        <x:sz val="11"/>
        <x:rFont val="Noto Sans CJK SC"/>
        <x:family val="2"/>
      </x:rPr>
      <x:t xml:space="preserve">次</x:t>
    </x:r>
    <x:r>
      <x:rPr>
        <x:sz val="11"/>
        <x:rFont val="Arial"/>
      </x:rPr>
      <x:t xml:space="preserve">-0.1</x:t>
    </x:r>
    <x:r>
      <x:rPr>
        <x:sz val="11"/>
        <x:rFont val="Noto Sans CJK SC"/>
        <x:family val="2"/>
      </x:rPr>
      <x:t xml:space="preserve">，見耐久與損壞表</x:t>
    </x:r>
    <x:r>
      <x:rPr>
        <x:sz val="11"/>
        <x:rFont val="Arial"/>
      </x:rPr>
      <x:t xml:space="preserve">)</x:t>
    </x:r>
    <x:r>
      <x:rPr>
        <x:sz val="11"/>
        <x:rFont val="Noto Sans CJK SC"/>
        <x:family val="2"/>
      </x:rPr>
      <x:t xml:space="preserve">。</x:t>
    </x:r>
  </x:si>
  <x:si>
    <x:r>
      <x:rPr>
        <x:sz val="11"/>
        <x:rFont val="Noto Sans CJK SC"/>
        <x:family val="2"/>
      </x:rPr>
      <x:t xml:space="preserve">⑤ 屬性追加傷害：火 </x:t>
    </x:r>
    <x:r>
      <x:rPr>
        <x:sz val="11"/>
        <x:rFont val="Arial"/>
      </x:rPr>
      <x:t xml:space="preserve">+</x:t>
    </x:r>
    <x:r>
      <x:rPr>
        <x:sz val="11"/>
        <x:rFont val="Noto Sans CJK SC"/>
        <x:family val="2"/>
      </x:rPr>
      <x:t xml:space="preserve">基礎</x:t>
    </x:r>
    <x:r>
      <x:rPr>
        <x:sz val="11"/>
        <x:rFont val="Arial"/>
      </x:rPr>
      <x:t xml:space="preserve">×6%</x:t>
    </x:r>
    <x:r>
      <x:rPr>
        <x:sz val="11"/>
        <x:rFont val="Noto Sans CJK SC"/>
        <x:family val="2"/>
      </x:rPr>
      <x:t xml:space="preserve">；冰 </x:t>
    </x:r>
    <x:r>
      <x:rPr>
        <x:sz val="11"/>
        <x:rFont val="Arial"/>
      </x:rPr>
      <x:t xml:space="preserve">+</x:t>
    </x:r>
    <x:r>
      <x:rPr>
        <x:sz val="11"/>
        <x:rFont val="Noto Sans CJK SC"/>
        <x:family val="2"/>
      </x:rPr>
      <x:t xml:space="preserve">基礎</x:t>
    </x:r>
    <x:r>
      <x:rPr>
        <x:sz val="11"/>
        <x:rFont val="Arial"/>
      </x:rPr>
      <x:t xml:space="preserve">×3%(</x:t>
    </x:r>
    <x:r>
      <x:rPr>
        <x:sz val="11"/>
        <x:rFont val="Noto Sans CJK SC"/>
        <x:family val="2"/>
      </x:rPr>
      <x:t xml:space="preserve">攻方每擊額外扣法力</x:t>
    </x:r>
    <x:r>
      <x:rPr>
        <x:sz val="11"/>
        <x:rFont val="Arial"/>
      </x:rPr>
      <x:t xml:space="preserve">)</x:t>
    </x:r>
    <x:r>
      <x:rPr>
        <x:sz val="11"/>
        <x:rFont val="Noto Sans CJK SC"/>
        <x:family val="2"/>
      </x:rPr>
      <x:t xml:space="preserve">；雷 </x:t>
    </x:r>
    <x:r>
      <x:rPr>
        <x:sz val="11"/>
        <x:rFont val="Arial"/>
      </x:rPr>
      <x:t xml:space="preserve">15%</x:t>
    </x:r>
    <x:r>
      <x:rPr>
        <x:sz val="11"/>
        <x:rFont val="Noto Sans CJK SC"/>
        <x:family val="2"/>
      </x:rPr>
      <x:t xml:space="preserve">機率暴擊</x:t>
    </x:r>
    <x:r>
      <x:rPr>
        <x:sz val="11"/>
        <x:rFont val="Arial"/>
      </x:rPr>
      <x:t xml:space="preserve">×1.5</x:t>
    </x:r>
    <x:r>
      <x:rPr>
        <x:sz val="11"/>
        <x:rFont val="Noto Sans CJK SC"/>
        <x:family val="2"/>
      </x:rPr>
      <x:t xml:space="preserve">。</x:t>
    </x:r>
  </x:si>
  <x:si>
    <x:r>
      <x:rPr>
        <x:sz val="11"/>
        <x:rFont val="Noto Sans CJK SC"/>
        <x:family val="2"/>
      </x:rPr>
      <x:t xml:space="preserve">⑥ 屬性防禦：守方防具屬性</x:t>
    </x:r>
    <x:r>
      <x:rPr>
        <x:sz val="11"/>
        <x:rFont val="Arial"/>
      </x:rPr>
      <x:t xml:space="preserve">==</x:t>
    </x:r>
    <x:r>
      <x:rPr>
        <x:sz val="11"/>
        <x:rFont val="Noto Sans CJK SC"/>
        <x:family val="2"/>
      </x:rPr>
      <x:t xml:space="preserve">攻方武器屬性時，該追加傷害</x:t>
    </x:r>
    <x:r>
      <x:rPr>
        <x:sz val="11"/>
        <x:rFont val="Arial"/>
      </x:rPr>
      <x:t xml:space="preserve">×(1-</x:t>
    </x:r>
    <x:r>
      <x:rPr>
        <x:sz val="11"/>
        <x:rFont val="Noto Sans CJK SC"/>
        <x:family val="2"/>
      </x:rPr>
      <x:t xml:space="preserve">屬性防禦率</x:t>
    </x:r>
    <x:r>
      <x:rPr>
        <x:sz val="11"/>
        <x:rFont val="Arial"/>
      </x:rPr>
      <x:t xml:space="preserve">)</x:t>
    </x:r>
    <x:r>
      <x:rPr>
        <x:sz val="11"/>
        <x:rFont val="Noto Sans CJK SC"/>
        <x:family val="2"/>
      </x:rPr>
      <x:t xml:space="preserve">；不對應則全額。</x:t>
    </x:r>
  </x:si>
  <x:si>
    <x:r>
      <x:rPr>
        <x:sz val="11"/>
        <x:rFont val="Noto Sans CJK SC"/>
        <x:family val="2"/>
      </x:rPr>
      <x:t xml:space="preserve">⑦ 最終體力損失 </x:t>
    </x:r>
    <x:r>
      <x:rPr>
        <x:sz val="11"/>
        <x:rFont val="Arial"/>
      </x:rPr>
      <x:t xml:space="preserve">= </x:t>
    </x:r>
    <x:r>
      <x:rPr>
        <x:sz val="11"/>
        <x:rFont val="Noto Sans CJK SC"/>
        <x:family val="2"/>
      </x:rPr>
      <x:t xml:space="preserve">基礎傷害 </x:t>
    </x:r>
    <x:r>
      <x:rPr>
        <x:sz val="11"/>
        <x:rFont val="Arial"/>
      </x:rPr>
      <x:t xml:space="preserve">+ </x:t>
    </x:r>
    <x:r>
      <x:rPr>
        <x:sz val="11"/>
        <x:rFont val="Noto Sans CJK SC"/>
        <x:family val="2"/>
      </x:rPr>
      <x:t xml:space="preserve">有效屬性追加傷害（四捨五入）。</x:t>
    </x:r>
  </x:si>
  <x:si>
    <x:t xml:space="preserve">【範例：防具如何折抵傷害（可改藍字試算）】</x:t>
  </x:si>
  <x:si>
    <x:t xml:space="preserve">項目</x:t>
  </x:si>
  <x:si>
    <x:t xml:space="preserve">總攻擊</x:t>
  </x:si>
  <x:si>
    <x:t xml:space="preserve">守方境界防禦</x:t>
  </x:si>
  <x:si>
    <x:t xml:space="preserve">防具防禦</x:t>
  </x:si>
  <x:si>
    <x:t xml:space="preserve">防禦係數</x:t>
  </x:si>
  <x:si>
    <x:r>
      <x:rPr>
        <x:sz val="11"/>
        <x:color rgb="FF000000"/>
        <x:rFont val="Noto Sans CJK SC"/>
        <x:family val="2"/>
      </x:rPr>
      <x:t xml:space="preserve">無防具</x:t>
    </x:r>
    <x:r>
      <x:rPr>
        <x:sz val="11"/>
        <x:color rgb="FF000000"/>
        <x:rFont val="Arial"/>
      </x:rPr>
      <x:t xml:space="preserve">·</x:t>
    </x:r>
    <x:r>
      <x:rPr>
        <x:sz val="11"/>
        <x:color rgb="FF000000"/>
        <x:rFont val="Noto Sans CJK SC"/>
        <x:family val="2"/>
      </x:rPr>
      <x:t xml:space="preserve">基礎傷害</x:t>
    </x:r>
  </x:si>
  <x:si>
    <x:r>
      <x:rPr>
        <x:sz val="11"/>
        <x:color rgb="FF000000"/>
        <x:rFont val="Noto Sans CJK SC"/>
        <x:family val="2"/>
      </x:rPr>
      <x:t xml:space="preserve">有防具</x:t>
    </x:r>
    <x:r>
      <x:rPr>
        <x:sz val="11"/>
        <x:color rgb="FF000000"/>
        <x:rFont val="Arial"/>
      </x:rPr>
      <x:t xml:space="preserve">·</x:t>
    </x:r>
    <x:r>
      <x:rPr>
        <x:sz val="11"/>
        <x:color rgb="FF000000"/>
        <x:rFont val="Noto Sans CJK SC"/>
        <x:family val="2"/>
      </x:rPr>
      <x:t xml:space="preserve">基礎傷害</x:t>
    </x:r>
  </x:si>
  <x:si>
    <x:t xml:space="preserve">防具減傷比例</x:t>
  </x:si>
  <x:si>
    <x:r>
      <x:rPr>
        <x:sz val="11"/>
        <x:color rgb="FF000000"/>
        <x:rFont val="Noto Sans CJK SC"/>
        <x:family val="2"/>
      </x:rPr>
      <x:t xml:space="preserve">武器倍率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飛劍例</x:t>
    </x:r>
    <x:r>
      <x:rPr>
        <x:sz val="11"/>
        <x:color rgb="FF000000"/>
        <x:rFont val="Arial"/>
      </x:rPr>
      <x:t xml:space="preserve">)</x:t>
    </x:r>
  </x:si>
  <x:si>
    <x:r>
      <x:rPr>
        <x:sz val="11"/>
        <x:color rgb="FF000000"/>
        <x:rFont val="Noto Sans CJK SC"/>
        <x:family val="2"/>
      </x:rPr>
      <x:t xml:space="preserve">飛劍</x:t>
    </x:r>
    <x:r>
      <x:rPr>
        <x:sz val="11"/>
        <x:color rgb="FF000000"/>
        <x:rFont val="Arial"/>
      </x:rPr>
      <x:t xml:space="preserve">·</x:t>
    </x:r>
    <x:r>
      <x:rPr>
        <x:sz val="11"/>
        <x:color rgb="FF000000"/>
        <x:rFont val="Noto Sans CJK SC"/>
        <x:family val="2"/>
      </x:rPr>
      <x:t xml:space="preserve">有防具傷害</x:t>
    </x:r>
  </x:si>
  <x:si>
    <x:t xml:space="preserve">訊息模板（戰鬥／系統台詞）</x:t>
  </x:si>
  <x:si>
    <x:r>
      <x:rPr>
        <x:i/>
        <x:sz val="11"/>
        <x:color rgb="FF808080"/>
        <x:rFont val="Arial"/>
      </x:rPr>
      <x:t xml:space="preserve">{ } </x:t>
    </x:r>
    <x:r>
      <x:rPr>
        <x:i/>
        <x:sz val="11"/>
        <x:color rgb="FF808080"/>
        <x:rFont val="Noto Sans CJK SC"/>
        <x:family val="2"/>
      </x:rPr>
      <x:t xml:space="preserve">內為變數，由引擎填入。武器顯示＝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玩家自訂名</x:t>
    </x:r>
    <x:r>
      <x:rPr>
        <x:i/>
        <x:sz val="11"/>
        <x:color rgb="FF808080"/>
        <x:rFont val="Arial"/>
      </x:rPr>
      <x:t xml:space="preserve">)+</x:t>
    </x:r>
    <x:r>
      <x:rPr>
        <x:i/>
        <x:sz val="11"/>
        <x:color rgb="FF808080"/>
        <x:rFont val="Noto Sans CJK SC"/>
        <x:family val="2"/>
      </x:rPr>
      <x:t xml:space="preserve">類型；無自訂名則只顯示類型。改這裡即可改台詞，不動程式。</x:t>
    </x:r>
  </x:si>
  <x:si>
    <x:t xml:space="preserve">key</x:t>
  </x:si>
  <x:si>
    <x:t xml:space="preserve">模板文字</x:t>
  </x:si>
  <x:si>
    <x:t xml:space="preserve">attack</x:t>
  </x:si>
  <x:si>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攻擊者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使用（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武器名</x:t>
    </x:r>
    <x:r>
      <x:rPr>
        <x:sz val="11"/>
        <x:color rgb="FF0000FF"/>
        <x:rFont val="Arial"/>
      </x:rPr>
      <x:t xml:space="preserve">}</x:t>
    </x:r>
    <x:r>
      <x:rPr>
        <x:sz val="11"/>
        <x:color rgb="FF0000FF"/>
        <x:rFont val="Noto Sans CJK SC"/>
        <x:family val="2"/>
      </x:rPr>
      <x:t xml:space="preserve">）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武器類型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攻擊你，造成 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基礎傷害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傷害</x:t>
    </x:r>
  </x:si>
  <x:si>
    <x:t xml:space="preserve">一般攻擊</x:t>
  </x:si>
  <x:si>
    <x:t xml:space="preserve">attack_no_name</x:t>
  </x:si>
  <x:si>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攻擊者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使用 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武器類型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攻擊你，造成 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基礎傷害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傷害</x:t>
    </x:r>
  </x:si>
  <x:si>
    <x:t xml:space="preserve">武器未命名時</x:t>
  </x:si>
  <x:si>
    <x:t xml:space="preserve">attack_element</x:t>
  </x:si>
  <x:si>
    <x:r>
      <x:rPr>
        <x:sz val="11"/>
        <x:color rgb="FF0000FF"/>
        <x:rFont val="Noto Sans CJK SC"/>
        <x:family val="2"/>
      </x:rPr>
      <x:t xml:space="preserve">＋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屬性傷害</x:t>
    </x:r>
    <x:r>
      <x:rPr>
        <x:sz val="11"/>
        <x:color rgb="FF0000FF"/>
        <x:rFont val="Arial"/>
      </x:rPr>
      <x:t xml:space="preserve">} {</x:t>
    </x:r>
    <x:r>
      <x:rPr>
        <x:sz val="11"/>
        <x:color rgb="FF0000FF"/>
        <x:rFont val="Noto Sans CJK SC"/>
        <x:family val="2"/>
      </x:rPr>
      <x:t xml:space="preserve">屬性</x:t>
    </x:r>
    <x:r>
      <x:rPr>
        <x:sz val="11"/>
        <x:color rgb="FF0000FF"/>
        <x:rFont val="Arial"/>
      </x:rPr>
      <x:t xml:space="preserve">}</x:t>
    </x:r>
    <x:r>
      <x:rPr>
        <x:sz val="11"/>
        <x:color rgb="FF0000FF"/>
        <x:rFont val="Noto Sans CJK SC"/>
        <x:family val="2"/>
      </x:rPr>
      <x:t xml:space="preserve">屬性傷害</x:t>
    </x:r>
  </x:si>
  <x:si>
    <x:t xml:space="preserve">有屬性武器時接在攻擊後</x:t>
  </x:si>
  <x:si>
    <x:t xml:space="preserve">crit</x:t>
  </x:si>
  <x:si>
    <x:t xml:space="preserve">（暴擊！）</x:t>
  </x:si>
  <x:si>
    <x:t xml:space="preserve">雷屬性暴擊觸發</x:t>
  </x:si>
  <x:si>
    <x:t xml:space="preserve">miss</x:t>
  </x:si>
  <x:si>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攻擊者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的攻擊落空了</x:t>
    </x:r>
  </x:si>
  <x:si>
    <x:r>
      <x:rPr>
        <x:sz val="11"/>
        <x:color rgb="FF000000"/>
        <x:rFont val="Noto Sans CJK SC"/>
        <x:family val="2"/>
      </x:rPr>
      <x:t xml:space="preserve">命中判定 </x:t>
    </x:r>
    <x:r>
      <x:rPr>
        <x:sz val="11"/>
        <x:color rgb="FF000000"/>
        <x:rFont val="Arial"/>
      </x:rPr>
      <x:t xml:space="preserve">miss</x:t>
    </x:r>
  </x:si>
  <x:si>
    <x:t xml:space="preserve">injure</x:t>
  </x:si>
  <x:si>
    <x:r>
      <x:rPr>
        <x:sz val="11"/>
        <x:color rgb="FF0000FF"/>
        <x:rFont val="Noto Sans CJK SC"/>
        <x:family val="2"/>
      </x:rPr>
      <x:t xml:space="preserve">你的 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部位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受了傷</x:t>
    </x:r>
  </x:si>
  <x:si>
    <x:t xml:space="preserve">造成受傷部位</x:t>
  </x:si>
  <x:si>
    <x:t xml:space="preserve">explore_find</x:t>
  </x:si>
  <x:si>
    <x:r>
      <x:rPr>
        <x:sz val="11"/>
        <x:color rgb="FF0000FF"/>
        <x:rFont val="Noto Sans CJK SC"/>
        <x:family val="2"/>
      </x:rPr>
      <x:t xml:space="preserve">你在此地發現了 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物品名</x:t>
    </x:r>
    <x:r>
      <x:rPr>
        <x:sz val="11"/>
        <x:color rgb="FF0000FF"/>
        <x:rFont val="Arial"/>
      </x:rPr>
      <x:t xml:space="preserve">}</x:t>
    </x:r>
    <x:r>
      <x:rPr>
        <x:sz val="11"/>
        <x:color rgb="FF0000FF"/>
        <x:rFont val="Noto Sans CJK SC"/>
        <x:family val="2"/>
      </x:rPr>
      <x:t xml:space="preserve">，是否拾取？</x:t>
    </x:r>
  </x:si>
  <x:si>
    <x:t xml:space="preserve">探索發現物品</x:t>
  </x:si>
  <x:si>
    <x:t xml:space="preserve">meditate</x:t>
  </x:si>
  <x:si>
    <x:r>
      <x:rPr>
        <x:sz val="11"/>
        <x:color rgb="FF0000FF"/>
        <x:rFont val="Noto Sans CJK SC"/>
        <x:family val="2"/>
      </x:rPr>
      <x:t xml:space="preserve">打坐吐納中……獲得 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經驗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點修為</x:t>
    </x:r>
  </x:si>
  <x:si>
    <x:t xml:space="preserve">打坐修煉</x:t>
  </x:si>
  <x:si>
    <x:t xml:space="preserve">breakthrough_ok</x:t>
  </x:si>
  <x:si>
    <x:r>
      <x:rPr>
        <x:sz val="11"/>
        <x:color rgb="FF0000FF"/>
        <x:rFont val="Noto Sans CJK SC"/>
        <x:family val="2"/>
      </x:rPr>
      <x:t xml:space="preserve">天雷過境，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玩家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成功突破至 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境界</x:t>
    </x:r>
    <x:r>
      <x:rPr>
        <x:sz val="11"/>
        <x:color rgb="FF0000FF"/>
        <x:rFont val="Arial"/>
      </x:rPr>
      <x:t xml:space="preserve">}</x:t>
    </x:r>
    <x:r>
      <x:rPr>
        <x:sz val="11"/>
        <x:color rgb="FF0000FF"/>
        <x:rFont val="Noto Sans CJK SC"/>
        <x:family val="2"/>
      </x:rPr>
      <x:t xml:space="preserve">！</x:t>
    </x:r>
  </x:si>
  <x:si>
    <x:t xml:space="preserve">突破成功</x:t>
  </x:si>
  <x:si>
    <x:t xml:space="preserve">breakthrough_fail</x:t>
  </x:si>
  <x:si>
    <x:t xml:space="preserve">突破失敗，氣息紊亂，走火入魔……</x:t>
  </x:si>
  <x:si>
    <x:t xml:space="preserve">突破失敗</x:t>
  </x:si>
  <x:si>
    <x:t xml:space="preserve">encounter</x:t>
  </x:si>
  <x:si>
    <x:r>
      <x:rPr>
        <x:sz val="11"/>
        <x:color rgb="FF0000FF"/>
        <x:rFont val="Noto Sans CJK SC"/>
        <x:family val="2"/>
      </x:rPr>
      <x:t xml:space="preserve">你察覺到 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對方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的氣息……</x:t>
    </x:r>
  </x:si>
  <x:si>
    <x:r>
      <x:rPr>
        <x:sz val="11"/>
        <x:color rgb="FF000000"/>
        <x:rFont val="Noto Sans CJK SC"/>
        <x:family val="2"/>
      </x:rPr>
      <x:t xml:space="preserve">神識發現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遭遇</x:t>
    </x:r>
  </x:si>
  <x:si>
    <x:t xml:space="preserve">flee_ok</x:t>
  </x:si>
  <x:si>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玩家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遁走，成功脫身</x:t>
    </x:r>
  </x:si>
  <x:si>
    <x:t xml:space="preserve">逃跑成功</x:t>
  </x:si>
  <x:si>
    <x:t xml:space="preserve">death</x:t>
  </x:si>
  <x:si>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玩家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身隕道消。</x:t>
    </x:r>
  </x:si>
  <x:si>
    <x:t xml:space="preserve">死亡</x:t>
  </x:si>
  <x:si>
    <x:t xml:space="preserve">blackcloud</x:t>
  </x:si>
  <x:si>
    <x:t xml:space="preserve">黑雲壓境！方圓修為盡失……</x:t>
  </x:si>
  <x:si>
    <x:t xml:space="preserve">黑雲降臨</x:t>
  </x:si>
  <x:si>
    <x:t xml:space="preserve">beasttide</x:t>
  </x:si>
  <x:si>
    <x:t xml:space="preserve">獸潮來襲！妖獸四起</x:t>
  </x:si>
  <x:si>
    <x:t xml:space="preserve">calamity</x:t>
  </x:si>
  <x:si>
    <x:t xml:space="preserve">魔界降臨，古魔臨世！</x:t>
  </x:si>
  <x:si>
    <x:t xml:space="preserve">大天劫</x:t>
  </x:si>
  <x:si>
    <x:r>
      <x:rPr>
        <x:i/>
        <x:sz val="11"/>
        <x:color rgb="FF808080"/>
        <x:rFont val="Noto Sans CJK SC"/>
        <x:family val="2"/>
      </x:rPr>
      <x:t xml:space="preserve">範例組合：『張三 使用（青雲劍）長劍 攻擊你，造成 </x:t>
    </x:r>
    <x:r>
      <x:rPr>
        <x:i/>
        <x:sz val="11"/>
        <x:color rgb="FF808080"/>
        <x:rFont val="Arial"/>
      </x:rPr>
      <x:t xml:space="preserve">52 </x:t>
    </x:r>
    <x:r>
      <x:rPr>
        <x:i/>
        <x:sz val="11"/>
        <x:color rgb="FF808080"/>
        <x:rFont val="Noto Sans CJK SC"/>
        <x:family val="2"/>
      </x:rPr>
      <x:t xml:space="preserve">傷害 ＋</x:t>
    </x:r>
    <x:r>
      <x:rPr>
        <x:i/>
        <x:sz val="11"/>
        <x:color rgb="FF808080"/>
        <x:rFont val="Arial"/>
      </x:rPr>
      <x:t xml:space="preserve">3 </x:t>
    </x:r>
    <x:r>
      <x:rPr>
        <x:i/>
        <x:sz val="11"/>
        <x:color rgb="FF808080"/>
        <x:rFont val="Noto Sans CJK SC"/>
        <x:family val="2"/>
      </x:rPr>
      <x:t xml:space="preserve">火屬性傷害』</x:t>
    </x:r>
  </x:si>
  <x:si>
    <x:r>
      <x:rPr>
        <x:b/>
        <x:sz val="14"/>
        <x:color rgb="FFC00000"/>
        <x:rFont val="Noto Sans CJK SC"/>
        <x:family val="2"/>
      </x:rPr>
      <x:t xml:space="preserve">活動場域（自訂活動空間 </x:t>
    </x:r>
    <x:r>
      <x:rPr>
        <x:b/>
        <x:sz val="14"/>
        <x:color rgb="FFC00000"/>
        <x:rFont val="Arial"/>
      </x:rPr>
      <x:t xml:space="preserve">3×3</x:t>
    </x:r>
    <x:r>
      <x:rPr>
        <x:b/>
        <x:sz val="14"/>
        <x:color rgb="FFC00000"/>
        <x:rFont val="Noto Sans CJK SC"/>
        <x:family val="2"/>
      </x:rPr>
      <x:t xml:space="preserve">）</x:t>
    </x:r>
  </x:si>
  <x:si>
    <x:r>
      <x:rPr>
        <x:i/>
        <x:sz val="11"/>
        <x:color rgb="FF808080"/>
        <x:rFont val="Noto Sans CJK SC"/>
        <x:family val="2"/>
      </x:rPr>
      <x:t xml:space="preserve">地圖之外的獨立小世界，</x:t>
    </x:r>
    <x:r>
      <x:rPr>
        <x:i/>
        <x:sz val="11"/>
        <x:color rgb="FF808080"/>
        <x:rFont val="Arial"/>
      </x:rPr>
      <x:t xml:space="preserve">3×3</x:t>
    </x:r>
    <x:r>
      <x:rPr>
        <x:i/>
        <x:sz val="11"/>
        <x:color rgb="FF808080"/>
        <x:rFont val="Noto Sans CJK SC"/>
        <x:family val="2"/>
      </x:rPr>
      <x:t xml:space="preserve">格。名稱隨時可改、開關由你控制。內含專屬強力怪物與珍貴掉落。</x:t>
    </x:r>
    <x:r>
      <x:rPr>
        <x:i/>
        <x:sz val="11"/>
        <x:color rgb="FF808080"/>
        <x:rFont val="Arial"/>
      </x:rPr>
      <x:t xml:space="preserve">5</x:t>
    </x:r>
    <x:r>
      <x:rPr>
        <x:i/>
        <x:sz val="11"/>
        <x:color rgb="FF808080"/>
        <x:rFont val="Noto Sans CJK SC"/>
        <x:family val="2"/>
      </x:rPr>
      <x:t xml:space="preserve">隻預設怪在怪物表</x:t>
    </x:r>
    <x:r>
      <x:rPr>
        <x:i/>
        <x:sz val="11"/>
        <x:color rgb="FF808080"/>
        <x:rFont val="Arial"/>
      </x:rPr>
      <x:t xml:space="preserve">(9301~9305)</x:t>
    </x:r>
    <x:r>
      <x:rPr>
        <x:i/>
        <x:sz val="11"/>
        <x:color rgb="FF808080"/>
        <x:rFont val="Noto Sans CJK SC"/>
        <x:family val="2"/>
      </x:rPr>
      <x:t xml:space="preserve">，可自行改數值或增減。</x:t>
    </x:r>
  </x:si>
  <x:si>
    <x:t xml:space="preserve">【場域設定】</x:t>
  </x:si>
  <x:si>
    <x:t xml:space="preserve">設定</x:t>
  </x:si>
  <x:si>
    <x:r>
      <x:rPr>
        <x:b/>
        <x:sz val="11"/>
        <x:rFont val="Noto Sans CJK SC"/>
        <x:family val="2"/>
      </x:rPr>
      <x:t xml:space="preserve">場域名稱</x:t>
    </x:r>
    <x:r>
      <x:rPr>
        <x:b/>
        <x:sz val="11"/>
        <x:rFont val="Arial"/>
      </x:rPr>
      <x:t xml:space="preserve">(</x:t>
    </x:r>
    <x:r>
      <x:rPr>
        <x:b/>
        <x:sz val="11"/>
        <x:rFont val="Noto Sans CJK SC"/>
        <x:family val="2"/>
      </x:rPr>
      <x:t xml:space="preserve">可改</x:t>
    </x:r>
    <x:r>
      <x:rPr>
        <x:b/>
        <x:sz val="11"/>
        <x:rFont val="Arial"/>
      </x:rPr>
      <x:t xml:space="preserve">)</x:t>
    </x:r>
  </x:si>
  <x:si>
    <x:r>
      <x:rPr>
        <x:sz val="11"/>
        <x:color rgb="FF0000FF"/>
        <x:rFont val="Noto Sans CJK SC"/>
        <x:family val="2"/>
      </x:rPr>
      <x:t xml:space="preserve">秘境</x:t>
    </x:r>
    <x:r>
      <x:rPr>
        <x:sz val="11"/>
        <x:color rgb="FF0000FF"/>
        <x:rFont val="Arial"/>
      </x:rPr>
      <x:t xml:space="preserve">·</x:t>
    </x:r>
    <x:r>
      <x:rPr>
        <x:sz val="11"/>
        <x:color rgb="FF0000FF"/>
        <x:rFont val="Noto Sans CJK SC"/>
        <x:family val="2"/>
      </x:rPr>
      <x:t xml:space="preserve">未命名</x:t>
    </x:r>
  </x:si>
  <x:si>
    <x:t xml:space="preserve">隨時可改，顯示給玩家</x:t>
  </x:si>
  <x:si>
    <x:t xml:space="preserve">開啟中</x:t>
  </x:si>
  <x:si>
    <x:t xml:space="preserve">你的開關；開啟才可進入</x:t>
  </x:si>
  <x:si>
    <x:t xml:space="preserve">大小</x:t>
  </x:si>
  <x:si>
    <x:t xml:space="preserve">3×3</x:t>
  </x:si>
  <x:si>
    <x:r>
      <x:rPr>
        <x:sz val="11"/>
        <x:color rgb="FF000000"/>
        <x:rFont val="Arial"/>
      </x:rPr>
      <x:t xml:space="preserve">9</x:t>
    </x:r>
    <x:r>
      <x:rPr>
        <x:sz val="11"/>
        <x:color rgb="FF000000"/>
        <x:rFont val="Noto Sans CJK SC"/>
        <x:family val="2"/>
      </x:rPr>
      <x:t xml:space="preserve">格獨立小世界</x:t>
    </x:r>
  </x:si>
  <x:si>
    <x:t xml:space="preserve">進入方式</x:t>
  </x:si>
  <x:si>
    <x:r>
      <x:rPr>
        <x:sz val="11"/>
        <x:color rgb="FF0000FF"/>
        <x:rFont val="Noto Sans CJK SC"/>
        <x:family val="2"/>
      </x:rPr>
      <x:t xml:space="preserve">管理員開放</x:t>
    </x:r>
    <x:r>
      <x:rPr>
        <x:sz val="11"/>
        <x:color rgb="FF0000FF"/>
        <x:rFont val="Arial"/>
      </x:rPr>
      <x:t xml:space="preserve">/</x:t>
    </x:r>
    <x:r>
      <x:rPr>
        <x:sz val="11"/>
        <x:color rgb="FF0000FF"/>
        <x:rFont val="Noto Sans CJK SC"/>
        <x:family val="2"/>
      </x:rPr>
      <x:t xml:space="preserve">傳送</x:t>
    </x:r>
  </x:si>
  <x:si>
    <x:t xml:space="preserve">例：限時開放、指定玩家傳入</x:t>
  </x:si>
  <x:si>
    <x:t xml:space="preserve">停留規則</x:t>
  </x:si>
  <x:si>
    <x:t xml:space="preserve">可設</x:t>
  </x:si>
  <x:si>
    <x:t xml:space="preserve">例：限時、逾時傳回主地圖</x:t>
  </x:si>
  <x:si>
    <x:t xml:space="preserve">【場域怪物池】</x:t>
  </x:si>
  <x:si>
    <x:t xml:space="preserve">出現權重</x:t>
  </x:si>
  <x:si>
    <x:t xml:space="preserve">【場域珍貴掉落池】</x:t>
  </x:si>
  <x:si>
    <x:t xml:space="preserve">管理員工具（後台即時控制）</x:t>
  </x:si>
  <x:si>
    <x:r>
      <x:rPr>
        <x:i/>
        <x:sz val="11"/>
        <x:color rgb="FF808080"/>
        <x:rFont val="Noto Sans CJK SC"/>
        <x:family val="2"/>
      </x:rPr>
      <x:t xml:space="preserve">以下由你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管理員</x:t>
    </x:r>
    <x:r>
      <x:rPr>
        <x:i/>
        <x:sz val="11"/>
        <x:color rgb="FF808080"/>
        <x:rFont val="Arial"/>
      </x:rPr>
      <x:t xml:space="preserve">)</x:t>
    </x:r>
    <x:r>
      <x:rPr>
        <x:i/>
        <x:sz val="11"/>
        <x:color rgb="FF808080"/>
        <x:rFont val="Noto Sans CJK SC"/>
        <x:family val="2"/>
      </x:rPr>
      <x:t xml:space="preserve">在後台隨時操作，不需改程式。</x:t>
    </x:r>
  </x:si>
  <x:si>
    <x:t xml:space="preserve">【地圖放毒】</x:t>
  </x:si>
  <x:si>
    <x:t xml:space="preserve">功能</x:t>
  </x:si>
  <x:si>
    <x:r>
      <x:rPr>
        <x:b/>
        <x:sz val="11"/>
        <x:color rgb="FFFFFFFF"/>
        <x:rFont val="Noto Sans CJK SC"/>
        <x:family val="2"/>
      </x:rPr>
      <x:t xml:space="preserve">數值</x:t>
    </x:r>
    <x:r>
      <x:rPr>
        <x:b/>
        <x:sz val="11"/>
        <x:color rgb="FFFFFFFF"/>
        <x:rFont val="Arial"/>
      </x:rPr>
      <x:t xml:space="preserve">/</x:t>
    </x:r>
    <x:r>
      <x:rPr>
        <x:b/>
        <x:sz val="11"/>
        <x:color rgb="FFFFFFFF"/>
        <x:rFont val="Noto Sans CJK SC"/>
        <x:family val="2"/>
      </x:rPr>
      <x:t xml:space="preserve">開關</x:t>
    </x:r>
  </x:si>
  <x:si>
    <x:r>
      <x:rPr>
        <x:b/>
        <x:sz val="11"/>
        <x:rFont val="Noto Sans CJK SC"/>
        <x:family val="2"/>
      </x:rPr>
      <x:t xml:space="preserve">放毒目標</x:t>
    </x:r>
    <x:r>
      <x:rPr>
        <x:b/>
        <x:sz val="11"/>
        <x:rFont val="Arial"/>
      </x:rPr>
      <x:t xml:space="preserve">zone_id</x:t>
    </x:r>
  </x:si>
  <x:si>
    <x:r>
      <x:rPr>
        <x:sz val="11"/>
        <x:color rgb="FF0000FF"/>
        <x:rFont val="Arial"/>
      </x:rPr>
      <x:t xml:space="preserve">(</x:t>
    </x:r>
    <x:r>
      <x:rPr>
        <x:sz val="11"/>
        <x:color rgb="FF0000FF"/>
        <x:rFont val="Noto Sans CJK SC"/>
        <x:family val="2"/>
      </x:rPr>
      <x:t xml:space="preserve">填入</x:t>
    </x:r>
    <x:r>
      <x:rPr>
        <x:sz val="11"/>
        <x:color rgb="FF0000FF"/>
        <x:rFont val="Arial"/>
      </x:rPr>
      <x:t xml:space="preserve">)</x:t>
    </x:r>
  </x:si>
  <x:si>
    <x:t xml:space="preserve">可對任一地圖區域放毒</x:t>
  </x:si>
  <x:si>
    <x:t xml:space="preserve">放毒開關</x:t>
  </x:si>
  <x:si>
    <x:t xml:space="preserve">開啟後該區玩家中毒</x:t>
  </x:si>
  <x:si>
    <x:t xml:space="preserve">每回合毒傷</x:t>
  </x:si>
  <x:si>
    <x:t xml:space="preserve">地圖毒每回合扣體力</x:t>
  </x:si>
  <x:si>
    <x:t xml:space="preserve">免疫條件</x:t>
  </x:si>
  <x:si>
    <x:r>
      <x:rPr>
        <x:sz val="11"/>
        <x:color rgb="FF0000FF"/>
        <x:rFont val="Noto Sans CJK SC"/>
        <x:family val="2"/>
      </x:rPr>
      <x:t xml:space="preserve">穿戴≥</x:t>
    </x:r>
    <x:r>
      <x:rPr>
        <x:sz val="11"/>
        <x:color rgb="FF0000FF"/>
        <x:rFont val="Arial"/>
      </x:rPr>
      <x:t xml:space="preserve">2</x:t>
    </x:r>
    <x:r>
      <x:rPr>
        <x:sz val="11"/>
        <x:color rgb="FF0000FF"/>
        <x:rFont val="Noto Sans CJK SC"/>
        <x:family val="2"/>
      </x:rPr>
      <x:t xml:space="preserve">件毒屬性防具</x:t>
    </x:r>
  </x:si>
  <x:si>
    <x:t xml:space="preserve">滿足則不受地圖毒影響</x:t>
  </x:si>
  <x:si>
    <x:t xml:space="preserve">單件毒防具</x:t>
  </x:si>
  <x:si>
    <x:t xml:space="preserve">毒傷減半</x:t>
  </x:si>
  <x:si>
    <x:r>
      <x:rPr>
        <x:sz val="11"/>
        <x:color rgb="FF000000"/>
        <x:rFont val="Noto Sans CJK SC"/>
        <x:family val="2"/>
      </x:rPr>
      <x:t xml:space="preserve">穿</x:t>
    </x:r>
    <x:r>
      <x:rPr>
        <x:sz val="11"/>
        <x:color rgb="FF000000"/>
        <x:rFont val="Arial"/>
      </x:rPr>
      <x:t xml:space="preserve">1</x:t>
    </x:r>
    <x:r>
      <x:rPr>
        <x:sz val="11"/>
        <x:color rgb="FF000000"/>
        <x:rFont val="Noto Sans CJK SC"/>
        <x:family val="2"/>
      </x:rPr>
      <x:t xml:space="preserve">件的效果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建議值</x:t>
    </x:r>
    <x:r>
      <x:rPr>
        <x:sz val="11"/>
        <x:color rgb="FF000000"/>
        <x:rFont val="Arial"/>
      </x:rPr>
      <x:t xml:space="preserve">)</x:t>
    </x:r>
  </x:si>
  <x:si>
    <x:t xml:space="preserve">【活動與公告】</x:t>
  </x:si>
  <x:si>
    <x:t xml:space="preserve">活動場域開關</x:t>
  </x:si>
  <x:si>
    <x:t xml:space="preserve">見活動場域分頁</x:t>
  </x:si>
  <x:si>
    <x:r>
      <x:rPr>
        <x:sz val="11"/>
        <x:color rgb="FF000000"/>
        <x:rFont val="Noto Sans CJK SC"/>
        <x:family val="2"/>
      </x:rPr>
      <x:t xml:space="preserve">開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關與命名於該分頁</x:t>
    </x:r>
  </x:si>
  <x:si>
    <x:t xml:space="preserve">全服公告</x:t>
  </x:si>
  <x:si>
    <x:r>
      <x:rPr>
        <x:sz val="11"/>
        <x:color rgb="FF0000FF"/>
        <x:rFont val="Arial"/>
      </x:rPr>
      <x:t xml:space="preserve">(</x:t>
    </x:r>
    <x:r>
      <x:rPr>
        <x:sz val="11"/>
        <x:color rgb="FF0000FF"/>
        <x:rFont val="Noto Sans CJK SC"/>
        <x:family val="2"/>
      </x:rPr>
      <x:t xml:space="preserve">文字</x:t>
    </x:r>
    <x:r>
      <x:rPr>
        <x:sz val="11"/>
        <x:color rgb="FF0000FF"/>
        <x:rFont val="Arial"/>
      </x:rPr>
      <x:t xml:space="preserve">)</x:t>
    </x:r>
  </x:si>
  <x:si>
    <x:r>
      <x:rPr>
        <x:sz val="11"/>
        <x:color rgb="FF000000"/>
        <x:rFont val="Noto Sans CJK SC"/>
        <x:family val="2"/>
      </x:rPr>
      <x:t xml:space="preserve">跑馬燈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系統訊息，走訊息模板</x:t>
    </x:r>
  </x:si>
  <x:si>
    <x:t xml:space="preserve">世界事件手動觸發</x:t>
  </x:si>
  <x:si>
    <x:r>
      <x:rPr>
        <x:sz val="11"/>
        <x:color rgb="FF0000FF"/>
        <x:rFont val="Noto Sans CJK SC"/>
        <x:family val="2"/>
      </x:rPr>
      <x:t xml:space="preserve">黑雲</x:t>
    </x:r>
    <x:r>
      <x:rPr>
        <x:sz val="11"/>
        <x:color rgb="FF0000FF"/>
        <x:rFont val="Arial"/>
      </x:rPr>
      <x:t xml:space="preserve">/</x:t>
    </x:r>
    <x:r>
      <x:rPr>
        <x:sz val="11"/>
        <x:color rgb="FF0000FF"/>
        <x:rFont val="Noto Sans CJK SC"/>
        <x:family val="2"/>
      </x:rPr>
      <x:t xml:space="preserve">獸潮</x:t>
    </x:r>
    <x:r>
      <x:rPr>
        <x:sz val="11"/>
        <x:color rgb="FF0000FF"/>
        <x:rFont val="Arial"/>
      </x:rPr>
      <x:t xml:space="preserve">/</x:t>
    </x:r>
    <x:r>
      <x:rPr>
        <x:sz val="11"/>
        <x:color rgb="FF0000FF"/>
        <x:rFont val="Noto Sans CJK SC"/>
        <x:family val="2"/>
      </x:rPr>
      <x:t xml:space="preserve">大天劫</x:t>
    </x:r>
  </x:si>
  <x:si>
    <x:t xml:space="preserve">可手動降下天災</x:t>
  </x:si>
  <x:si>
    <x:t xml:space="preserve">裝備欄位</x:t>
  </x:si>
  <x:si>
    <x:r>
      <x:rPr>
        <x:i/>
        <x:sz val="11"/>
        <x:color rgb="FF808080"/>
        <x:rFont val="Noto Sans CJK SC"/>
        <x:family val="2"/>
      </x:rPr>
      <x:t xml:space="preserve">防具分多部位，各部位可獨立裝備並附屬性。毒屬性防具穿戴≥</x:t>
    </x:r>
    <x:r>
      <x:rPr>
        <x:i/>
        <x:sz val="11"/>
        <x:color rgb="FF808080"/>
        <x:rFont val="Arial"/>
      </x:rPr>
      <x:t xml:space="preserve">2</x:t>
    </x:r>
    <x:r>
      <x:rPr>
        <x:i/>
        <x:sz val="11"/>
        <x:color rgb="FF808080"/>
        <x:rFont val="Noto Sans CJK SC"/>
        <x:family val="2"/>
      </x:rPr>
      <x:t xml:space="preserve">件→免疫地圖毒。</x:t>
    </x:r>
  </x:si>
  <x:si>
    <x:t xml:space="preserve">可裝備</x:t>
  </x:si>
  <x:si>
    <x:t xml:space="preserve">頭部防具</x:t>
  </x:si>
  <x:si>
    <x:t xml:space="preserve">可附屬性</x:t>
  </x:si>
  <x:si>
    <x:t xml:space="preserve">身</x:t>
  </x:si>
  <x:si>
    <x:r>
      <x:rPr>
        <x:sz val="11"/>
        <x:color rgb="FF000000"/>
        <x:rFont val="Noto Sans CJK SC"/>
        <x:family val="2"/>
      </x:rPr>
      <x:t xml:space="preserve">主防具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法袍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重甲</x:t>
    </x:r>
    <x:r>
      <x:rPr>
        <x:sz val="11"/>
        <x:color rgb="FF000000"/>
        <x:rFont val="Arial"/>
      </x:rPr>
      <x:t xml:space="preserve">)</x:t>
    </x:r>
  </x:si>
  <x:si>
    <x:t xml:space="preserve">主要減傷來源</x:t>
  </x:si>
  <x:si>
    <x:t xml:space="preserve">腕</x:t>
  </x:si>
  <x:si>
    <x:t xml:space="preserve">護腕</x:t>
  </x:si>
  <x:si>
    <x:t xml:space="preserve">足</x:t>
  </x:si>
  <x:si>
    <x:t xml:space="preserve">靴</x:t>
  </x:si>
  <x:si>
    <x:t xml:space="preserve">飾</x:t>
  </x:si>
  <x:si>
    <x:t xml:space="preserve">飾品</x:t>
  </x:si>
</x:sst>
</file>

<file path=xl/styles.xml><?xml version="1.0" encoding="utf-8"?>
<x:styleSheet xmlns:x="http://schemas.openxmlformats.org/spreadsheetml/2006/main">
  <x:numFmts count="8">
    <x:numFmt numFmtId="164" formatCode="General"/>
    <x:numFmt numFmtId="165" formatCode="#,##0"/>
    <x:numFmt numFmtId="166" formatCode="0%"/>
    <x:numFmt numFmtId="167" formatCode="0.0%"/>
    <x:numFmt numFmtId="168" formatCode="0.0"/>
    <x:numFmt numFmtId="169" formatCode="#,##0.0"/>
    <x:numFmt numFmtId="200" formatCode="0.000%"/>
    <x:numFmt numFmtId="201" formatCode="0"/>
  </x:numFmts>
  <x:fonts count="23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C00000"/>
      <x:name val="Noto Sans CJK SC"/>
    </x:font>
    <x:font>
      <x:b/>
      <x:sz val="14"/>
      <x:color rgb="FFC00000"/>
      <x:name val="Arial"/>
    </x:font>
    <x:font>
      <x:b/>
      <x:sz val="11"/>
      <x:name val="Noto Sans CJK SC"/>
    </x:font>
    <x:font>
      <x:sz val="11"/>
      <x:name val="Noto Sans CJK SC"/>
    </x:font>
    <x:font>
      <x:sz val="11"/>
      <x:name val="Arial"/>
    </x:font>
    <x:font>
      <x:b/>
      <x:sz val="11"/>
      <x:name val="Arial"/>
    </x:font>
    <x:font>
      <x:b/>
      <x:sz val="11"/>
      <x:color rgb="FFFFFFFF"/>
      <x:name val="Noto Sans CJK SC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1"/>
      <x:color rgb="FF000000"/>
      <x:name val="Noto Sans CJK SC"/>
    </x:font>
    <x:font>
      <x:sz val="11"/>
      <x:color rgb="FF000000"/>
      <x:name val="Arial"/>
    </x:font>
    <x:font>
      <x:sz val="11"/>
      <x:color rgb="FF0000FF"/>
      <x:name val="Noto Sans CJK SC"/>
    </x:font>
    <x:font>
      <x:i/>
      <x:sz val="11"/>
      <x:color rgb="FF808080"/>
      <x:name val="Noto Sans CJK SC"/>
    </x:font>
    <x:font>
      <x:i/>
      <x:sz val="11"/>
      <x:color rgb="FF808080"/>
      <x:name val="Arial"/>
    </x:font>
    <x:font>
      <x:b/>
      <x:sz val="14"/>
      <x:color rgb="FFFFFFFF"/>
      <x:name val="Noto Sans CJK SC"/>
    </x:font>
    <x:font>
      <x:b/>
      <x:sz val="14"/>
      <x:color rgb="FFFFFFFF"/>
      <x:name val="Calibri"/>
    </x:font>
    <x:font>
      <x:i/>
      <x:sz val="11"/>
      <x:color rgb="FF1F1F1F"/>
      <x:name val="Noto Sans CJK SC"/>
    </x:font>
    <x:font>
      <x:b/>
      <x:sz val="11"/>
      <x:color rgb="FFFFFFFF"/>
      <x:name val="Calibri"/>
    </x:font>
    <x:font>
      <x:b/>
      <x:sz val="14"/>
      <x:color rgb="FFD8BB6A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EEB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4202B"/>
      </x:patternFill>
    </x:fill>
    <x:fill>
      <x:patternFill patternType="solid">
        <x:fgColor rgb="FF243444"/>
      </x:patternFill>
    </x:fill>
  </x:fills>
  <x:borders count="4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01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7" fillId="0" borderId="0" xfId="0" applyFont="1" applyBorder="0" applyAlignment="1">
      <x:alignment horizontal="left" vertical="center" wrapText="1"/>
    </x:xf>
    <x:xf numFmtId="164" fontId="8" fillId="0" borderId="0" xfId="0" applyFont="1" applyBorder="0" applyAlignment="1">
      <x:alignment horizontal="left" vertical="center" wrapText="1"/>
    </x:xf>
    <x:xf numFmtId="164" fontId="8" fillId="0" borderId="0" xfId="0" applyFont="1" applyBorder="0" applyAlignment="0">
      <x:alignment horizontal="general" vertical="bottom" wrapText="0"/>
    </x:xf>
    <x:xf numFmtId="164" fontId="7" fillId="0" borderId="0" xfId="0" applyFont="1" applyBorder="0" applyAlignment="0">
      <x:alignment horizontal="general" vertical="bottom" wrapText="0"/>
    </x:xf>
    <x:xf numFmtId="164" fontId="10" fillId="2" borderId="1" xfId="0" applyFont="1" applyBorder="1" applyAlignment="1">
      <x:alignment horizontal="center" vertical="center" wrapText="0"/>
    </x:xf>
    <x:xf numFmtId="164" fontId="9" fillId="0" borderId="1" xfId="0" applyFont="1" applyBorder="1" applyAlignment="1">
      <x:alignment horizontal="left" vertical="center" wrapText="1"/>
    </x:xf>
    <x:xf numFmtId="164" fontId="12" fillId="3" borderId="1" xfId="0" applyFont="1" applyBorder="1" applyAlignment="1">
      <x:alignment horizontal="center" vertical="center" wrapText="0"/>
    </x:xf>
    <x:xf numFmtId="164" fontId="13" fillId="0" borderId="1" xfId="0" applyFont="1" applyBorder="1" applyAlignment="1">
      <x:alignment horizontal="center" vertical="center" wrapText="0"/>
    </x:xf>
    <x:xf numFmtId="164" fontId="13" fillId="0" borderId="1" xfId="0" applyFont="1" applyBorder="1" applyAlignment="1">
      <x:alignment horizontal="left" vertical="center" wrapText="1"/>
    </x:xf>
    <x:xf numFmtId="164" fontId="15" fillId="3" borderId="1" xfId="0" applyFont="1" applyBorder="1" applyAlignment="1">
      <x:alignment horizontal="center" vertical="center" wrapText="0"/>
    </x:xf>
    <x:xf numFmtId="164" fontId="14" fillId="0" borderId="1" xfId="0" applyFont="1" applyBorder="1" applyAlignment="1">
      <x:alignment horizontal="center" vertical="center" wrapText="0"/>
    </x:xf>
    <x:xf numFmtId="165" fontId="12" fillId="3" borderId="1" xfId="0" applyFont="1" applyBorder="1" applyAlignment="1">
      <x:alignment horizontal="center" vertical="center" wrapText="0"/>
    </x:xf>
    <x:xf numFmtId="165" fontId="14" fillId="0" borderId="1" xfId="0" applyFont="1" applyBorder="1" applyAlignment="1">
      <x:alignment horizontal="center" vertical="center" wrapText="0"/>
    </x:xf>
    <x:xf numFmtId="164" fontId="13" fillId="4" borderId="1" xfId="0" applyFont="1" applyBorder="1" applyAlignment="1">
      <x:alignment horizontal="center" vertical="center" wrapText="0"/>
    </x:xf>
    <x:xf numFmtId="164" fontId="16" fillId="0" borderId="0" xfId="0" applyFont="1" applyBorder="1" applyAlignment="1">
      <x:alignment horizontal="left" vertical="center" wrapText="1"/>
    </x:xf>
    <x:xf numFmtId="164" fontId="6" fillId="0" borderId="1" xfId="0" applyFont="1" applyBorder="1" applyAlignment="1">
      <x:alignment horizontal="left" vertical="center" wrapText="1"/>
    </x:xf>
    <x:xf numFmtId="164" fontId="12" fillId="0" borderId="1" xfId="0" applyFont="1" applyBorder="1" applyAlignment="1">
      <x:alignment horizontal="center" vertical="center" wrapText="0"/>
    </x:xf>
    <x:xf numFmtId="166" fontId="12" fillId="3" borderId="1" xfId="0" applyFont="1" applyBorder="1" applyAlignment="1">
      <x:alignment horizontal="center" vertical="center" wrapText="0"/>
    </x:xf>
    <x:xf numFmtId="164" fontId="15" fillId="0" borderId="1" xfId="0" applyFont="1" applyBorder="1" applyAlignment="1">
      <x:alignment horizontal="left" vertical="center" wrapText="1"/>
    </x:xf>
    <x:xf numFmtId="167" fontId="12" fillId="0" borderId="1" xfId="0" applyFont="1" applyBorder="1" applyAlignment="1">
      <x:alignment horizontal="center" vertical="center" wrapText="0"/>
    </x:xf>
    <x:xf numFmtId="166" fontId="12" fillId="0" borderId="1" xfId="0" applyFont="1" applyBorder="1" applyAlignment="1">
      <x:alignment horizontal="center" vertical="center" wrapText="0"/>
    </x:xf>
    <x:xf numFmtId="164" fontId="11" fillId="2" borderId="1" xfId="0" applyFont="1" applyBorder="1" applyAlignment="1">
      <x:alignment horizontal="center" vertical="center" wrapText="0"/>
    </x:xf>
    <x:xf numFmtId="164" fontId="15" fillId="3" borderId="1" xfId="0" applyFont="1" applyBorder="1" applyAlignment="1">
      <x:alignment horizontal="left" vertical="center" wrapText="1"/>
    </x:xf>
    <x:xf numFmtId="164" fontId="15" fillId="0" borderId="1" xfId="0" applyFont="1" applyBorder="1" applyAlignment="1">
      <x:alignment horizontal="center" vertical="center" wrapText="0"/>
    </x:xf>
    <x:xf numFmtId="165" fontId="12" fillId="0" borderId="1" xfId="0" applyFont="1" applyBorder="1" applyAlignment="1">
      <x:alignment horizontal="center" vertical="center" wrapText="0"/>
    </x:xf>
    <x:xf numFmtId="164" fontId="16" fillId="0" borderId="1" xfId="0" applyFont="1" applyBorder="1" applyAlignment="1">
      <x:alignment horizontal="left" vertical="center" wrapText="1"/>
    </x:xf>
    <x:xf numFmtId="164" fontId="7" fillId="0" borderId="1" xfId="0" applyFont="1" applyBorder="1" applyAlignment="1">
      <x:alignment horizontal="left" vertical="center" wrapText="1"/>
    </x:xf>
    <x:xf numFmtId="164" fontId="14" fillId="0" borderId="1" xfId="0" applyFont="1" applyBorder="1" applyAlignment="1">
      <x:alignment horizontal="left" vertical="center" wrapText="1"/>
    </x:xf>
    <x:xf numFmtId="164" fontId="12" fillId="0" borderId="1" xfId="0" applyFont="1" applyBorder="1" applyAlignment="1">
      <x:alignment horizontal="left" vertical="center" wrapText="1"/>
    </x:xf>
    <x:xf numFmtId="164" fontId="15" fillId="4" borderId="1" xfId="0" applyFont="1" applyBorder="1" applyAlignment="1">
      <x:alignment horizontal="center" vertical="center" wrapText="0"/>
    </x:xf>
    <x:xf numFmtId="164" fontId="5" fillId="0" borderId="0" xfId="0" applyFont="1" applyBorder="0" applyAlignment="0">
      <x:alignment horizontal="general" vertical="bottom" wrapText="0"/>
    </x:xf>
    <x:xf numFmtId="164" fontId="6" fillId="0" borderId="1" xfId="0" applyFont="1" applyBorder="1" applyAlignment="1">
      <x:alignment horizontal="center" vertical="center" wrapText="0"/>
    </x:xf>
    <x:xf numFmtId="168" fontId="12" fillId="0" borderId="1" xfId="0" applyFont="1" applyBorder="1" applyAlignment="1">
      <x:alignment horizontal="center" vertical="center" wrapText="0"/>
    </x:xf>
    <x:xf numFmtId="164" fontId="7" fillId="0" borderId="0" xfId="0" applyFont="1" applyBorder="1" applyAlignment="1">
      <x:alignment horizontal="left" vertical="center" wrapText="1"/>
    </x:xf>
    <x:xf numFmtId="169" fontId="14" fillId="0" borderId="1" xfId="0" applyFont="1" applyBorder="1" applyAlignment="1">
      <x:alignment horizontal="center" vertical="center" wrapText="0"/>
    </x:xf>
    <x:xf numFmtId="167" fontId="14" fillId="0" borderId="1" xfId="0" applyFont="1" applyBorder="1" applyAlignment="1">
      <x:alignment horizontal="center" vertical="center" wrapText="0"/>
    </x:xf>
    <x:xf numFmtId="168" fontId="12" fillId="3" borderId="1" xfId="0" applyFont="1" applyBorder="1" applyAlignment="1">
      <x:alignment horizontal="center" vertical="center" wrapText="0"/>
    </x:xf>
    <x:xf numFmtId="164" fontId="17" fillId="0" borderId="0" xfId="0" applyFont="1" applyBorder="1" applyAlignment="1">
      <x:alignment horizontal="left" vertical="center" wrapText="1"/>
    </x:xf>
    <x:xf numFmtId="164" fontId="12" fillId="3" borderId="1" xfId="0" applyFont="1" applyBorder="1" applyAlignment="1">
      <x:alignment horizontal="left" vertical="center" wrapText="1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0" borderId="2" xfId="0" applyNumberFormat="1" applyFont="1" applyFill="1" applyBorder="1" applyAlignment="1">
      <x:alignment horizontal="general" vertical="bottom" wrapText="0"/>
    </x:xf>
    <x:xf numFmtId="164" fontId="6" fillId="0" borderId="2" xfId="0" applyNumberFormat="1" applyFont="1" applyFill="1" applyBorder="1" applyAlignment="1">
      <x:alignment horizontal="general" vertical="bottom" wrapText="0"/>
    </x:xf>
    <x:xf numFmtId="164" fontId="7" fillId="0" borderId="2" xfId="0" applyNumberFormat="1" applyFont="1" applyFill="1" applyBorder="1" applyAlignment="1">
      <x:alignment horizontal="left" vertical="center" wrapText="1"/>
    </x:xf>
    <x:xf numFmtId="164" fontId="8" fillId="0" borderId="2" xfId="0" applyNumberFormat="1" applyFont="1" applyFill="1" applyBorder="1" applyAlignment="1">
      <x:alignment horizontal="left" vertical="center" wrapText="1"/>
    </x:xf>
    <x:xf numFmtId="164" fontId="8" fillId="0" borderId="2" xfId="0" applyNumberFormat="1" applyFont="1" applyFill="1" applyBorder="1" applyAlignment="1">
      <x:alignment horizontal="general" vertical="bottom" wrapText="0"/>
    </x:xf>
    <x:xf numFmtId="164" fontId="7" fillId="0" borderId="2" xfId="0" applyNumberFormat="1" applyFont="1" applyFill="1" applyBorder="1" applyAlignment="1">
      <x:alignment horizontal="general" vertical="bottom" wrapText="0"/>
    </x:xf>
    <x:xf numFmtId="164" fontId="10" fillId="2" borderId="3" xfId="0" applyNumberFormat="1" applyFont="1" applyFill="1" applyBorder="1" applyAlignment="1">
      <x:alignment horizontal="center" vertical="center" wrapText="0"/>
    </x:xf>
    <x:xf numFmtId="164" fontId="9" fillId="0" borderId="3" xfId="0" applyNumberFormat="1" applyFont="1" applyFill="1" applyBorder="1" applyAlignment="1">
      <x:alignment horizontal="left" vertical="center" wrapText="1"/>
    </x:xf>
    <x:xf numFmtId="164" fontId="12" fillId="3" borderId="3" xfId="0" applyNumberFormat="1" applyFont="1" applyFill="1" applyBorder="1" applyAlignment="1">
      <x:alignment horizontal="center" vertical="center" wrapText="0"/>
    </x:xf>
    <x:xf numFmtId="164" fontId="13" fillId="0" borderId="3" xfId="0" applyNumberFormat="1" applyFont="1" applyFill="1" applyBorder="1" applyAlignment="1">
      <x:alignment horizontal="center" vertical="center" wrapText="0"/>
    </x:xf>
    <x:xf numFmtId="164" fontId="13" fillId="0" borderId="3" xfId="0" applyNumberFormat="1" applyFont="1" applyFill="1" applyBorder="1" applyAlignment="1">
      <x:alignment horizontal="left" vertical="center" wrapText="1"/>
    </x:xf>
    <x:xf numFmtId="164" fontId="15" fillId="3" borderId="3" xfId="0" applyNumberFormat="1" applyFont="1" applyFill="1" applyBorder="1" applyAlignment="1">
      <x:alignment horizontal="center" vertical="center" wrapText="0"/>
    </x:xf>
    <x:xf numFmtId="164" fontId="14" fillId="0" borderId="3" xfId="0" applyNumberFormat="1" applyFont="1" applyFill="1" applyBorder="1" applyAlignment="1">
      <x:alignment horizontal="center" vertical="center" wrapText="0"/>
    </x:xf>
    <x:xf numFmtId="165" fontId="12" fillId="3" borderId="3" xfId="0" applyNumberFormat="1" applyFont="1" applyFill="1" applyBorder="1" applyAlignment="1">
      <x:alignment horizontal="center" vertical="center" wrapText="0"/>
    </x:xf>
    <x:xf numFmtId="165" fontId="14" fillId="0" borderId="3" xfId="0" applyNumberFormat="1" applyFont="1" applyFill="1" applyBorder="1" applyAlignment="1">
      <x:alignment horizontal="center" vertical="center" wrapText="0"/>
    </x:xf>
    <x:xf numFmtId="164" fontId="13" fillId="4" borderId="3" xfId="0" applyNumberFormat="1" applyFont="1" applyFill="1" applyBorder="1" applyAlignment="1">
      <x:alignment horizontal="center" vertical="center" wrapText="0"/>
    </x:xf>
    <x:xf numFmtId="164" fontId="16" fillId="0" borderId="2" xfId="0" applyNumberFormat="1" applyFont="1" applyFill="1" applyBorder="1" applyAlignment="1">
      <x:alignment horizontal="left" vertical="center" wrapText="1"/>
    </x:xf>
    <x:xf numFmtId="164" fontId="6" fillId="0" borderId="3" xfId="0" applyNumberFormat="1" applyFont="1" applyFill="1" applyBorder="1" applyAlignment="1">
      <x:alignment horizontal="left" vertical="center" wrapText="1"/>
    </x:xf>
    <x:xf numFmtId="164" fontId="12" fillId="0" borderId="3" xfId="0" applyNumberFormat="1" applyFont="1" applyFill="1" applyBorder="1" applyAlignment="1">
      <x:alignment horizontal="center" vertical="center" wrapText="0"/>
    </x:xf>
    <x:xf numFmtId="166" fontId="12" fillId="3" borderId="3" xfId="0" applyNumberFormat="1" applyFont="1" applyFill="1" applyBorder="1" applyAlignment="1">
      <x:alignment horizontal="center" vertical="center" wrapText="0"/>
    </x:xf>
    <x:xf numFmtId="164" fontId="15" fillId="0" borderId="3" xfId="0" applyNumberFormat="1" applyFont="1" applyFill="1" applyBorder="1" applyAlignment="1">
      <x:alignment horizontal="left" vertical="center" wrapText="1"/>
    </x:xf>
    <x:xf numFmtId="167" fontId="12" fillId="0" borderId="3" xfId="0" applyNumberFormat="1" applyFont="1" applyFill="1" applyBorder="1" applyAlignment="1">
      <x:alignment horizontal="center" vertical="center" wrapText="0"/>
    </x:xf>
    <x:xf numFmtId="166" fontId="12" fillId="0" borderId="3" xfId="0" applyNumberFormat="1" applyFont="1" applyFill="1" applyBorder="1" applyAlignment="1">
      <x:alignment horizontal="center" vertical="center" wrapText="0"/>
    </x:xf>
    <x:xf numFmtId="164" fontId="11" fillId="2" borderId="3" xfId="0" applyNumberFormat="1" applyFont="1" applyFill="1" applyBorder="1" applyAlignment="1">
      <x:alignment horizontal="center" vertical="center" wrapText="0"/>
    </x:xf>
    <x:xf numFmtId="164" fontId="15" fillId="3" borderId="3" xfId="0" applyNumberFormat="1" applyFont="1" applyFill="1" applyBorder="1" applyAlignment="1">
      <x:alignment horizontal="left" vertical="center" wrapText="1"/>
    </x:xf>
    <x:xf numFmtId="164" fontId="15" fillId="0" borderId="3" xfId="0" applyNumberFormat="1" applyFont="1" applyFill="1" applyBorder="1" applyAlignment="1">
      <x:alignment horizontal="center" vertical="center" wrapText="0"/>
    </x:xf>
    <x:xf numFmtId="165" fontId="12" fillId="0" borderId="3" xfId="0" applyNumberFormat="1" applyFont="1" applyFill="1" applyBorder="1" applyAlignment="1">
      <x:alignment horizontal="center" vertical="center" wrapText="0"/>
    </x:xf>
    <x:xf numFmtId="164" fontId="16" fillId="0" borderId="3" xfId="0" applyNumberFormat="1" applyFont="1" applyFill="1" applyBorder="1" applyAlignment="1">
      <x:alignment horizontal="left" vertical="center" wrapText="1"/>
    </x:xf>
    <x:xf numFmtId="164" fontId="7" fillId="0" borderId="3" xfId="0" applyNumberFormat="1" applyFont="1" applyFill="1" applyBorder="1" applyAlignment="1">
      <x:alignment horizontal="left" vertical="center" wrapText="1"/>
    </x:xf>
    <x:xf numFmtId="164" fontId="14" fillId="0" borderId="3" xfId="0" applyNumberFormat="1" applyFont="1" applyFill="1" applyBorder="1" applyAlignment="1">
      <x:alignment horizontal="left" vertical="center" wrapText="1"/>
    </x:xf>
    <x:xf numFmtId="164" fontId="12" fillId="0" borderId="3" xfId="0" applyNumberFormat="1" applyFont="1" applyFill="1" applyBorder="1" applyAlignment="1">
      <x:alignment horizontal="left" vertical="center" wrapText="1"/>
    </x:xf>
    <x:xf numFmtId="164" fontId="15" fillId="4" borderId="3" xfId="0" applyNumberFormat="1" applyFont="1" applyFill="1" applyBorder="1" applyAlignment="1">
      <x:alignment horizontal="center" vertical="center" wrapText="0"/>
    </x:xf>
    <x:xf numFmtId="164" fontId="5" fillId="0" borderId="2" xfId="0" applyNumberFormat="1" applyFont="1" applyFill="1" applyBorder="1" applyAlignment="1">
      <x:alignment horizontal="general" vertical="bottom" wrapText="0"/>
    </x:xf>
    <x:xf numFmtId="164" fontId="6" fillId="0" borderId="3" xfId="0" applyNumberFormat="1" applyFont="1" applyFill="1" applyBorder="1" applyAlignment="1">
      <x:alignment horizontal="center" vertical="center" wrapText="0"/>
    </x:xf>
    <x:xf numFmtId="168" fontId="12" fillId="0" borderId="3" xfId="0" applyNumberFormat="1" applyFont="1" applyFill="1" applyBorder="1" applyAlignment="1">
      <x:alignment horizontal="center" vertical="center" wrapText="0"/>
    </x:xf>
    <x:xf numFmtId="169" fontId="14" fillId="0" borderId="3" xfId="0" applyNumberFormat="1" applyFont="1" applyFill="1" applyBorder="1" applyAlignment="1">
      <x:alignment horizontal="center" vertical="center" wrapText="0"/>
    </x:xf>
    <x:xf numFmtId="167" fontId="14" fillId="0" borderId="3" xfId="0" applyNumberFormat="1" applyFont="1" applyFill="1" applyBorder="1" applyAlignment="1">
      <x:alignment horizontal="center" vertical="center" wrapText="0"/>
    </x:xf>
    <x:xf numFmtId="168" fontId="12" fillId="3" borderId="3" xfId="0" applyNumberFormat="1" applyFont="1" applyFill="1" applyBorder="1" applyAlignment="1">
      <x:alignment horizontal="center" vertical="center" wrapText="0"/>
    </x:xf>
    <x:xf numFmtId="164" fontId="17" fillId="0" borderId="2" xfId="0" applyNumberFormat="1" applyFont="1" applyFill="1" applyBorder="1" applyAlignment="1">
      <x:alignment horizontal="left" vertical="center" wrapText="1"/>
    </x:xf>
    <x:xf numFmtId="164" fontId="12" fillId="3" borderId="3" xfId="0" applyNumberFormat="1" applyFont="1" applyFill="1" applyBorder="1" applyAlignment="1">
      <x:alignment horizontal="left" vertical="center" wrapText="1"/>
    </x:xf>
    <x:xf numFmtId="164" fontId="4" fillId="5" borderId="0" xfId="0" applyNumberFormat="1" applyFont="1" applyFill="1" applyBorder="1" applyAlignment="1">
      <x:alignment horizontal="general" vertical="bottom" wrapText="0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18" fillId="5" borderId="0" xfId="0" applyNumberFormat="1" applyFont="1" applyFill="1" applyBorder="1" applyAlignment="1">
      <x:alignment horizontal="general" vertical="bottom" wrapText="0"/>
    </x:xf>
    <x:xf numFmtId="164" fontId="19" fillId="5" borderId="0" xfId="0" applyNumberFormat="1" applyFont="1" applyFill="1" applyBorder="1" applyAlignment="1">
      <x:alignment horizontal="general" vertical="bottom" wrapText="0"/>
    </x:xf>
    <x:xf numFmtId="164" fontId="18" fillId="5" borderId="0" xfId="0" applyNumberFormat="1" applyFont="1" applyFill="1" applyBorder="1" applyAlignment="1">
      <x:alignment horizontal="center" vertical="bottom" wrapText="0"/>
    </x:xf>
    <x:xf numFmtId="164" fontId="19" fillId="5" borderId="0" xfId="0" applyNumberFormat="1" applyFont="1" applyFill="1" applyBorder="1" applyAlignment="1">
      <x:alignment horizontal="center" vertical="bottom" wrapText="0"/>
    </x:xf>
    <x:xf numFmtId="164" fontId="18" fillId="5" borderId="0" xfId="0" applyNumberFormat="1" applyFont="1" applyFill="1" applyBorder="1" applyAlignment="1">
      <x:alignment horizontal="center" vertical="center" wrapText="0"/>
    </x:xf>
    <x:xf numFmtId="164" fontId="19" fillId="5" borderId="0" xfId="0" applyNumberFormat="1" applyFont="1" applyFill="1" applyBorder="1" applyAlignment="1">
      <x:alignment horizontal="center" vertical="center" wrapText="0"/>
    </x:xf>
    <x:xf numFmtId="164" fontId="4" fillId="5" borderId="2" xfId="0" applyNumberFormat="1" applyFont="1" applyFill="1" applyBorder="1" applyAlignment="1">
      <x:alignment horizontal="general" vertical="bottom" wrapText="0"/>
    </x:xf>
    <x:xf numFmtId="164" fontId="0" fillId="5" borderId="2" xfId="0" applyNumberFormat="1" applyFont="1" applyFill="1" applyBorder="1" applyAlignment="1">
      <x:alignment horizontal="general" vertical="bottom" wrapText="0"/>
    </x:xf>
    <x:xf numFmtId="164" fontId="18" fillId="5" borderId="2" xfId="0" applyNumberFormat="1" applyFont="1" applyFill="1" applyBorder="1" applyAlignment="1">
      <x:alignment horizontal="general" vertical="bottom" wrapText="0"/>
    </x:xf>
    <x:xf numFmtId="164" fontId="19" fillId="5" borderId="2" xfId="0" applyNumberFormat="1" applyFont="1" applyFill="1" applyBorder="1" applyAlignment="1">
      <x:alignment horizontal="general" vertical="bottom" wrapText="0"/>
    </x:xf>
    <x:xf numFmtId="164" fontId="18" fillId="5" borderId="2" xfId="0" applyNumberFormat="1" applyFont="1" applyFill="1" applyBorder="1" applyAlignment="1">
      <x:alignment horizontal="center" vertical="bottom" wrapText="0"/>
    </x:xf>
    <x:xf numFmtId="164" fontId="19" fillId="5" borderId="2" xfId="0" applyNumberFormat="1" applyFont="1" applyFill="1" applyBorder="1" applyAlignment="1">
      <x:alignment horizontal="center" vertical="bottom" wrapText="0"/>
    </x:xf>
    <x:xf numFmtId="164" fontId="18" fillId="5" borderId="2" xfId="0" applyNumberFormat="1" applyFont="1" applyFill="1" applyBorder="1" applyAlignment="1">
      <x:alignment horizontal="center" vertical="center" wrapText="0"/>
    </x:xf>
    <x:xf numFmtId="164" fontId="19" fillId="5" borderId="2" xfId="0" applyNumberFormat="1" applyFont="1" applyFill="1" applyBorder="1" applyAlignment="1">
      <x:alignment horizontal="center" vertical="center" wrapText="0"/>
    </x:xf>
    <x:xf numFmtId="164" fontId="16" fillId="6" borderId="0" xfId="0" applyNumberFormat="1" applyFont="1" applyFill="1" applyBorder="1" applyAlignment="1">
      <x:alignment horizontal="left" vertical="center" wrapText="1"/>
    </x:xf>
    <x:xf numFmtId="164" fontId="20" fillId="6" borderId="0" xfId="0" applyNumberFormat="1" applyFont="1" applyFill="1" applyBorder="1" applyAlignment="1">
      <x:alignment horizontal="left" vertical="center" wrapText="1"/>
    </x:xf>
    <x:xf numFmtId="164" fontId="16" fillId="6" borderId="2" xfId="0" applyNumberFormat="1" applyFont="1" applyFill="1" applyBorder="1" applyAlignment="1">
      <x:alignment horizontal="left" vertical="center" wrapText="1"/>
    </x:xf>
    <x:xf numFmtId="164" fontId="20" fillId="6" borderId="2" xfId="0" applyNumberFormat="1" applyFont="1" applyFill="1" applyBorder="1" applyAlignment="1">
      <x:alignment horizontal="left" vertical="center" wrapText="1"/>
    </x:xf>
    <x:xf numFmtId="164" fontId="10" fillId="7" borderId="1" xfId="0" applyNumberFormat="1" applyFont="1" applyFill="1" applyBorder="1" applyAlignment="1">
      <x:alignment horizontal="center" vertical="center" wrapText="0"/>
    </x:xf>
    <x:xf numFmtId="164" fontId="10" fillId="7" borderId="3" xfId="0" applyNumberFormat="1" applyFont="1" applyFill="1" applyBorder="1" applyAlignment="1">
      <x:alignment horizontal="center" vertical="center" wrapText="0"/>
    </x:xf>
    <x:xf numFmtId="200" fontId="12" fillId="3" borderId="1" xfId="0" applyNumberFormat="1" applyFont="1" applyFill="1" applyBorder="1" applyAlignment="1">
      <x:alignment horizontal="center" vertical="center" wrapText="0"/>
    </x:xf>
    <x:xf numFmtId="200" fontId="12" fillId="0" borderId="1" xfId="0" applyNumberFormat="1" applyFont="1" applyFill="1" applyBorder="1" applyAlignment="1">
      <x:alignment horizontal="center" vertical="center" wrapText="0"/>
    </x:xf>
    <x:xf numFmtId="200" fontId="13" fillId="0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200" fontId="16" fillId="0" borderId="1" xfId="0" applyNumberFormat="1" applyFont="1" applyFill="1" applyBorder="1" applyAlignment="1">
      <x:alignment horizontal="left" vertical="center" wrapText="1"/>
    </x:xf>
    <x:xf numFmtId="200" fontId="12" fillId="3" borderId="3" xfId="0" applyNumberFormat="1" applyFont="1" applyFill="1" applyBorder="1" applyAlignment="1">
      <x:alignment horizontal="center" vertical="center" wrapText="0"/>
    </x:xf>
    <x:xf numFmtId="200" fontId="12" fillId="0" borderId="3" xfId="0" applyNumberFormat="1" applyFont="1" applyFill="1" applyBorder="1" applyAlignment="1">
      <x:alignment horizontal="center" vertical="center" wrapText="0"/>
    </x:xf>
    <x:xf numFmtId="200" fontId="13" fillId="0" borderId="3" xfId="0" applyNumberFormat="1" applyFont="1" applyFill="1" applyBorder="1" applyAlignment="1">
      <x:alignment horizontal="left" vertical="center" wrapText="1"/>
    </x:xf>
    <x:xf numFmtId="200" fontId="0" fillId="0" borderId="2" xfId="0" applyNumberFormat="1" applyFont="1" applyFill="1" applyBorder="1" applyAlignment="1">
      <x:alignment horizontal="general" vertical="bottom" wrapText="0"/>
    </x:xf>
    <x:xf numFmtId="200" fontId="16" fillId="0" borderId="3" xfId="0" applyNumberFormat="1" applyFont="1" applyFill="1" applyBorder="1" applyAlignment="1">
      <x:alignment horizontal="left" vertical="center" wrapText="1"/>
    </x:xf>
    <x:xf numFmtId="201" fontId="9" fillId="0" borderId="1" xfId="0" applyNumberFormat="1" applyFont="1" applyFill="1" applyBorder="1" applyAlignment="1">
      <x:alignment horizontal="left" vertical="center" wrapText="1"/>
    </x:xf>
    <x:xf numFmtId="201" fontId="12" fillId="3" borderId="1" xfId="0" applyNumberFormat="1" applyFont="1" applyFill="1" applyBorder="1" applyAlignment="1">
      <x:alignment horizontal="center" vertical="center" wrapText="0"/>
    </x:xf>
    <x:xf numFmtId="201" fontId="0" fillId="0" borderId="0" xfId="0" applyNumberFormat="1" applyFont="1" applyFill="1" applyBorder="1" applyAlignment="1">
      <x:alignment horizontal="general" vertical="bottom" wrapText="0"/>
    </x:xf>
    <x:xf numFmtId="201" fontId="16" fillId="0" borderId="1" xfId="0" applyNumberFormat="1" applyFont="1" applyFill="1" applyBorder="1" applyAlignment="1">
      <x:alignment horizontal="left" vertical="center" wrapText="1"/>
    </x:xf>
    <x:xf numFmtId="201" fontId="9" fillId="0" borderId="3" xfId="0" applyNumberFormat="1" applyFont="1" applyFill="1" applyBorder="1" applyAlignment="1">
      <x:alignment horizontal="left" vertical="center" wrapText="1"/>
    </x:xf>
    <x:xf numFmtId="201" fontId="12" fillId="3" borderId="3" xfId="0" applyNumberFormat="1" applyFont="1" applyFill="1" applyBorder="1" applyAlignment="1">
      <x:alignment horizontal="center" vertical="center" wrapText="0"/>
    </x:xf>
    <x:xf numFmtId="201" fontId="0" fillId="0" borderId="2" xfId="0" applyNumberFormat="1" applyFont="1" applyFill="1" applyBorder="1" applyAlignment="1">
      <x:alignment horizontal="general" vertical="bottom" wrapText="0"/>
    </x:xf>
    <x:xf numFmtId="201" fontId="16" fillId="0" borderId="3" xfId="0" applyNumberFormat="1" applyFont="1" applyFill="1" applyBorder="1" applyAlignment="1">
      <x:alignment horizontal="left" vertical="center" wrapText="1"/>
    </x:xf>
    <x:xf numFmtId="164" fontId="18" fillId="5" borderId="0" xfId="0" applyNumberFormat="1" applyFont="1" applyFill="1" applyBorder="1" applyAlignment="1">
      <x:alignment horizontal="center" vertical="center" wrapText="1"/>
    </x:xf>
    <x:xf numFmtId="164" fontId="19" fillId="5" borderId="0" xfId="0" applyNumberFormat="1" applyFont="1" applyFill="1" applyBorder="1" applyAlignment="1">
      <x:alignment horizontal="center" vertical="center" wrapText="1"/>
    </x:xf>
    <x:xf numFmtId="164" fontId="10" fillId="7" borderId="1" xfId="0" applyNumberFormat="1" applyFont="1" applyFill="1" applyBorder="1" applyAlignment="1">
      <x:alignment horizontal="center" vertical="center" wrapText="1"/>
    </x:xf>
    <x:xf numFmtId="201" fontId="12" fillId="3" borderId="1" xfId="0" applyNumberFormat="1" applyFont="1" applyFill="1" applyBorder="1" applyAlignment="1">
      <x:alignment horizontal="center" vertical="center" wrapText="1"/>
    </x:xf>
    <x:xf numFmtId="200" fontId="12" fillId="3" borderId="1" xfId="0" applyNumberFormat="1" applyFont="1" applyFill="1" applyBorder="1" applyAlignment="1">
      <x:alignment horizontal="center" vertical="center" wrapText="1"/>
    </x:xf>
    <x:xf numFmtId="200" fontId="12" fillId="0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general" vertical="bottom" wrapText="1"/>
    </x:xf>
    <x:xf numFmtId="200" fontId="0" fillId="0" borderId="0" xfId="0" applyNumberFormat="1" applyFont="1" applyFill="1" applyBorder="1" applyAlignment="1">
      <x:alignment horizontal="general" vertical="bottom" wrapText="1"/>
    </x:xf>
    <x:xf numFmtId="164" fontId="18" fillId="5" borderId="2" xfId="0" applyNumberFormat="1" applyFont="1" applyFill="1" applyBorder="1" applyAlignment="1">
      <x:alignment horizontal="center" vertical="center" wrapText="1"/>
    </x:xf>
    <x:xf numFmtId="164" fontId="19" fillId="5" borderId="2" xfId="0" applyNumberFormat="1" applyFont="1" applyFill="1" applyBorder="1" applyAlignment="1">
      <x:alignment horizontal="center" vertical="center" wrapText="1"/>
    </x:xf>
    <x:xf numFmtId="164" fontId="10" fillId="7" borderId="3" xfId="0" applyNumberFormat="1" applyFont="1" applyFill="1" applyBorder="1" applyAlignment="1">
      <x:alignment horizontal="center" vertical="center" wrapText="1"/>
    </x:xf>
    <x:xf numFmtId="201" fontId="12" fillId="3" borderId="3" xfId="0" applyNumberFormat="1" applyFont="1" applyFill="1" applyBorder="1" applyAlignment="1">
      <x:alignment horizontal="center" vertical="center" wrapText="1"/>
    </x:xf>
    <x:xf numFmtId="200" fontId="12" fillId="3" borderId="3" xfId="0" applyNumberFormat="1" applyFont="1" applyFill="1" applyBorder="1" applyAlignment="1">
      <x:alignment horizontal="center" vertical="center" wrapText="1"/>
    </x:xf>
    <x:xf numFmtId="200" fontId="12" fillId="0" borderId="3" xfId="0" applyNumberFormat="1" applyFont="1" applyFill="1" applyBorder="1" applyAlignment="1">
      <x:alignment horizontal="center" vertical="center" wrapText="1"/>
    </x:xf>
    <x:xf numFmtId="201" fontId="0" fillId="0" borderId="2" xfId="0" applyNumberFormat="1" applyFont="1" applyFill="1" applyBorder="1" applyAlignment="1">
      <x:alignment horizontal="general" vertical="bottom" wrapText="1"/>
    </x:xf>
    <x:xf numFmtId="200" fontId="0" fillId="0" borderId="2" xfId="0" applyNumberFormat="1" applyFont="1" applyFill="1" applyBorder="1" applyAlignment="1">
      <x:alignment horizontal="general" vertical="bottom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0" fillId="6" borderId="0" xfId="0" applyNumberFormat="1" applyFont="1" applyFill="1" applyBorder="1" applyAlignment="1">
      <x:alignment horizontal="general" vertical="bottom" wrapText="1"/>
    </x:xf>
    <x:xf numFmtId="164" fontId="0" fillId="6" borderId="2" xfId="0" applyNumberFormat="1" applyFont="1" applyFill="1" applyBorder="1" applyAlignment="1">
      <x:alignment horizontal="general" vertical="bottom" wrapText="0"/>
    </x:xf>
    <x:xf numFmtId="164" fontId="0" fillId="6" borderId="2" xfId="0" applyNumberFormat="1" applyFont="1" applyFill="1" applyBorder="1" applyAlignment="1">
      <x:alignment horizontal="general" vertical="bottom" wrapText="1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21" fillId="7" borderId="0" xfId="0" applyNumberFormat="1" applyFont="1" applyFill="1" applyBorder="1" applyAlignment="1">
      <x:alignment horizontal="general" vertical="bottom" wrapText="0"/>
    </x:xf>
    <x:xf numFmtId="164" fontId="21" fillId="7" borderId="0" xfId="0" applyNumberFormat="1" applyFont="1" applyFill="1" applyBorder="1" applyAlignment="1">
      <x:alignment horizontal="center" vertical="bottom" wrapText="0"/>
    </x:xf>
    <x:xf numFmtId="164" fontId="0" fillId="7" borderId="2" xfId="0" applyNumberFormat="1" applyFont="1" applyFill="1" applyBorder="1" applyAlignment="1">
      <x:alignment horizontal="general" vertical="bottom" wrapText="0"/>
    </x:xf>
    <x:xf numFmtId="164" fontId="21" fillId="7" borderId="2" xfId="0" applyNumberFormat="1" applyFont="1" applyFill="1" applyBorder="1" applyAlignment="1">
      <x:alignment horizontal="general" vertical="bottom" wrapText="0"/>
    </x:xf>
    <x:xf numFmtId="164" fontId="21" fillId="7" borderId="2" xfId="0" applyNumberFormat="1" applyFont="1" applyFill="1" applyBorder="1" applyAlignment="1">
      <x:alignment horizontal="center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2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4" fillId="0" borderId="0" xfId="0" applyNumberFormat="1" applyFont="1" applyFill="1" applyBorder="1" applyAlignment="1">
      <x:alignment horizontal="general" vertical="bottom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left" vertical="center" wrapText="1"/>
    </x:xf>
    <x:xf numFmtId="164" fontId="8" fillId="0" borderId="0" xfId="0" applyNumberFormat="1" applyFont="1" applyFill="1" applyBorder="1" applyAlignment="1">
      <x:alignment horizontal="left" vertical="center" wrapText="1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general" vertical="bottom" wrapText="0"/>
    </x:xf>
    <x:xf numFmtId="164" fontId="10" fillId="2" borderId="1" xfId="0" applyNumberFormat="1" applyFont="1" applyFill="1" applyBorder="1" applyAlignment="1">
      <x:alignment horizontal="center" vertical="center" wrapText="0"/>
    </x:xf>
    <x:xf numFmtId="164" fontId="9" fillId="0" borderId="1" xfId="0" applyNumberFormat="1" applyFont="1" applyFill="1" applyBorder="1" applyAlignment="1">
      <x:alignment horizontal="left" vertical="center" wrapText="1"/>
    </x:xf>
    <x:xf numFmtId="164" fontId="12" fillId="3" borderId="1" xfId="0" applyNumberFormat="1" applyFont="1" applyFill="1" applyBorder="1" applyAlignment="1">
      <x:alignment horizontal="center" vertical="center" wrapText="0"/>
    </x:xf>
    <x:xf numFmtId="164" fontId="13" fillId="0" borderId="1" xfId="0" applyNumberFormat="1" applyFont="1" applyFill="1" applyBorder="1" applyAlignment="1">
      <x:alignment horizontal="center" vertical="center" wrapText="0"/>
    </x:xf>
    <x:xf numFmtId="164" fontId="13" fillId="0" borderId="1" xfId="0" applyNumberFormat="1" applyFont="1" applyFill="1" applyBorder="1" applyAlignment="1">
      <x:alignment horizontal="left" vertical="center" wrapText="1"/>
    </x:xf>
    <x:xf numFmtId="164" fontId="15" fillId="3" borderId="1" xfId="0" applyNumberFormat="1" applyFont="1" applyFill="1" applyBorder="1" applyAlignment="1">
      <x:alignment horizontal="center" vertical="center" wrapText="0"/>
    </x:xf>
    <x:xf numFmtId="164" fontId="14" fillId="0" borderId="1" xfId="0" applyNumberFormat="1" applyFont="1" applyFill="1" applyBorder="1" applyAlignment="1">
      <x:alignment horizontal="center" vertical="center" wrapText="0"/>
    </x:xf>
    <x:xf numFmtId="165" fontId="12" fillId="3" borderId="1" xfId="0" applyNumberFormat="1" applyFont="1" applyFill="1" applyBorder="1" applyAlignment="1">
      <x:alignment horizontal="center" vertical="center" wrapText="0"/>
    </x:xf>
    <x:xf numFmtId="165" fontId="14" fillId="0" borderId="1" xfId="0" applyNumberFormat="1" applyFont="1" applyFill="1" applyBorder="1" applyAlignment="1">
      <x:alignment horizontal="center" vertical="center" wrapText="0"/>
    </x:xf>
    <x:xf numFmtId="164" fontId="13" fillId="4" borderId="1" xfId="0" applyNumberFormat="1" applyFont="1" applyFill="1" applyBorder="1" applyAlignment="1">
      <x:alignment horizontal="center" vertical="center" wrapText="0"/>
    </x:xf>
    <x:xf numFmtId="164" fontId="16" fillId="0" borderId="0" xfId="0" applyNumberFormat="1" applyFont="1" applyFill="1" applyBorder="1" applyAlignment="1">
      <x:alignment horizontal="left" vertical="center" wrapText="1"/>
    </x:xf>
    <x:xf numFmtId="164" fontId="6" fillId="0" borderId="1" xfId="0" applyNumberFormat="1" applyFont="1" applyFill="1" applyBorder="1" applyAlignment="1">
      <x:alignment horizontal="left" vertical="center" wrapText="1"/>
    </x:xf>
    <x:xf numFmtId="164" fontId="12" fillId="0" borderId="1" xfId="0" applyNumberFormat="1" applyFont="1" applyFill="1" applyBorder="1" applyAlignment="1">
      <x:alignment horizontal="center" vertical="center" wrapText="0"/>
    </x:xf>
    <x:xf numFmtId="166" fontId="12" fillId="3" borderId="1" xfId="0" applyNumberFormat="1" applyFont="1" applyFill="1" applyBorder="1" applyAlignment="1">
      <x:alignment horizontal="center" vertical="center" wrapText="0"/>
    </x:xf>
    <x:xf numFmtId="164" fontId="15" fillId="0" borderId="1" xfId="0" applyNumberFormat="1" applyFont="1" applyFill="1" applyBorder="1" applyAlignment="1">
      <x:alignment horizontal="left" vertical="center" wrapText="1"/>
    </x:xf>
    <x:xf numFmtId="167" fontId="12" fillId="0" borderId="1" xfId="0" applyNumberFormat="1" applyFont="1" applyFill="1" applyBorder="1" applyAlignment="1">
      <x:alignment horizontal="center" vertical="center" wrapText="0"/>
    </x:xf>
    <x:xf numFmtId="166" fontId="12" fillId="0" borderId="1" xfId="0" applyNumberFormat="1" applyFont="1" applyFill="1" applyBorder="1" applyAlignment="1">
      <x:alignment horizontal="center" vertical="center" wrapText="0"/>
    </x:xf>
    <x:xf numFmtId="164" fontId="11" fillId="2" borderId="1" xfId="0" applyNumberFormat="1" applyFont="1" applyFill="1" applyBorder="1" applyAlignment="1">
      <x:alignment horizontal="center" vertical="center" wrapText="0"/>
    </x:xf>
    <x:xf numFmtId="164" fontId="15" fillId="3" borderId="1" xfId="0" applyNumberFormat="1" applyFont="1" applyFill="1" applyBorder="1" applyAlignment="1">
      <x:alignment horizontal="left" vertical="center" wrapText="1"/>
    </x:xf>
    <x:xf numFmtId="164" fontId="15" fillId="0" borderId="1" xfId="0" applyNumberFormat="1" applyFont="1" applyFill="1" applyBorder="1" applyAlignment="1">
      <x:alignment horizontal="center" vertical="center" wrapText="0"/>
    </x:xf>
    <x:xf numFmtId="165" fontId="12" fillId="0" borderId="1" xfId="0" applyNumberFormat="1" applyFont="1" applyFill="1" applyBorder="1" applyAlignment="1">
      <x:alignment horizontal="center" vertical="center" wrapText="0"/>
    </x:xf>
    <x:xf numFmtId="164" fontId="16" fillId="0" borderId="1" xfId="0" applyNumberFormat="1" applyFont="1" applyFill="1" applyBorder="1" applyAlignment="1">
      <x:alignment horizontal="left" vertical="center" wrapText="1"/>
    </x:xf>
    <x:xf numFmtId="164" fontId="7" fillId="0" borderId="1" xfId="0" applyNumberFormat="1" applyFont="1" applyFill="1" applyBorder="1" applyAlignment="1">
      <x:alignment horizontal="left" vertical="center" wrapText="1"/>
    </x:xf>
    <x:xf numFmtId="164" fontId="14" fillId="0" borderId="1" xfId="0" applyNumberFormat="1" applyFont="1" applyFill="1" applyBorder="1" applyAlignment="1">
      <x:alignment horizontal="left" vertical="center" wrapText="1"/>
    </x:xf>
    <x:xf numFmtId="164" fontId="12" fillId="0" borderId="1" xfId="0" applyNumberFormat="1" applyFont="1" applyFill="1" applyBorder="1" applyAlignment="1">
      <x:alignment horizontal="left" vertical="center" wrapText="1"/>
    </x:xf>
    <x:xf numFmtId="164" fontId="15" fillId="4" borderId="1" xfId="0" applyNumberFormat="1" applyFont="1" applyFill="1" applyBorder="1" applyAlignment="1">
      <x:alignment horizontal="center" vertical="center" wrapText="0"/>
    </x:xf>
    <x:xf numFmtId="164" fontId="5" fillId="0" borderId="0" xfId="0" applyNumberFormat="1" applyFont="1" applyFill="1" applyBorder="1" applyAlignment="1">
      <x:alignment horizontal="general" vertical="bottom" wrapText="0"/>
    </x:xf>
    <x:xf numFmtId="164" fontId="6" fillId="0" borderId="1" xfId="0" applyNumberFormat="1" applyFont="1" applyFill="1" applyBorder="1" applyAlignment="1">
      <x:alignment horizontal="center" vertical="center" wrapText="0"/>
    </x:xf>
    <x:xf numFmtId="168" fontId="12" fillId="0" borderId="1" xfId="0" applyNumberFormat="1" applyFont="1" applyFill="1" applyBorder="1" applyAlignment="1">
      <x:alignment horizontal="center" vertical="center" wrapText="0"/>
    </x:xf>
    <x:xf numFmtId="169" fontId="14" fillId="0" borderId="1" xfId="0" applyNumberFormat="1" applyFont="1" applyFill="1" applyBorder="1" applyAlignment="1">
      <x:alignment horizontal="center" vertical="center" wrapText="0"/>
    </x:xf>
    <x:xf numFmtId="167" fontId="14" fillId="0" borderId="1" xfId="0" applyNumberFormat="1" applyFont="1" applyFill="1" applyBorder="1" applyAlignment="1">
      <x:alignment horizontal="center" vertical="center" wrapText="0"/>
    </x:xf>
    <x:xf numFmtId="168" fontId="12" fillId="3" borderId="1" xfId="0" applyNumberFormat="1" applyFont="1" applyFill="1" applyBorder="1" applyAlignment="1">
      <x:alignment horizontal="center" vertical="center" wrapText="0"/>
    </x:xf>
    <x:xf numFmtId="164" fontId="17" fillId="0" borderId="0" xfId="0" applyNumberFormat="1" applyFont="1" applyFill="1" applyBorder="1" applyAlignment="1">
      <x:alignment horizontal="left" vertical="center" wrapText="1"/>
    </x:xf>
    <x:xf numFmtId="164" fontId="12" fillId="3" borderId="1" xfId="0" applyNumberFormat="1" applyFont="1" applyFill="1" applyBorder="1" applyAlignment="1">
      <x:alignment horizontal="left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22" fillId="8" borderId="0" xfId="0" applyNumberFormat="1" applyFont="1" applyFill="1" applyBorder="1" applyAlignment="1">
      <x:alignment horizontal="general" vertical="bottom" wrapText="0"/>
    </x:xf>
    <x:xf numFmtId="164" fontId="22" fillId="8" borderId="0" xfId="0" applyNumberFormat="1" applyFont="1" applyFill="1" applyBorder="1" applyAlignment="1">
      <x:alignment horizontal="center" vertical="bottom" wrapText="0"/>
    </x:xf>
    <x:xf numFmtId="164" fontId="22" fillId="8" borderId="0" xfId="0" applyNumberFormat="1" applyFont="1" applyFill="1" applyBorder="1" applyAlignment="1">
      <x:alignment horizontal="center" vertical="center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21" fillId="9" borderId="0" xfId="0" applyNumberFormat="1" applyFont="1" applyFill="1" applyBorder="1" applyAlignment="1">
      <x:alignment horizontal="general" vertical="bottom" wrapText="0"/>
    </x:xf>
    <x:xf numFmtId="164" fontId="21" fillId="9" borderId="0" xfId="0" applyNumberFormat="1" applyFont="1" applyFill="1" applyBorder="1" applyAlignment="1">
      <x:alignment horizontal="center" vertical="bottom" wrapText="0"/>
    </x:xf>
    <x:xf numFmtId="164" fontId="21" fillId="9" borderId="0" xfId="0" applyNumberFormat="1" applyFont="1" applyFill="1" applyBorder="1" applyAlignment="1">
      <x:alignment horizontal="center" vertical="center" wrapText="0"/>
    </x:xf>
    <x:xf numFmtId="164" fontId="21" fillId="9" borderId="0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4">
    <x:dxf>
      <x:font>
        <x:b/>
      </x:font>
      <x:fill>
        <x:patternFill>
          <x:bgColor rgb="FFF8CBAD"/>
        </x:patternFill>
      </x:fill>
    </x:dxf>
    <x:dxf>
      <x:fill>
        <x:patternFill>
          <x:bgColor rgb="FFFFE699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D9E1F2"/>
        </x:patternFill>
      </x:fill>
    </x:dxf>
  </x:dxf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DEEBF7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cd26d7c5894ada" /><Relationship Type="http://schemas.openxmlformats.org/officeDocument/2006/relationships/theme" Target="/xl/theme/theme1.xml" Id="Ra64fed765d2842fb" /><Relationship Type="http://schemas.openxmlformats.org/officeDocument/2006/relationships/sharedStrings" Target="/xl/sharedStrings.xml" Id="Rf17b61f0a5374b93" /><Relationship Type="http://schemas.openxmlformats.org/officeDocument/2006/relationships/worksheet" Target="/xl/worksheets/sheet1.xml" Id="R0dc6292184d34a70" /><Relationship Type="http://schemas.openxmlformats.org/officeDocument/2006/relationships/worksheet" Target="/xl/worksheets/sheet2.xml" Id="R9891db028d2d4610" /><Relationship Type="http://schemas.openxmlformats.org/officeDocument/2006/relationships/worksheet" Target="/xl/worksheets/sheet3.xml" Id="Rc297e43c3ebd43d1" /><Relationship Type="http://schemas.openxmlformats.org/officeDocument/2006/relationships/worksheet" Target="/xl/worksheets/sheet4.xml" Id="R4ea9480589504385" /><Relationship Type="http://schemas.openxmlformats.org/officeDocument/2006/relationships/worksheet" Target="/xl/worksheets/sheet5.xml" Id="Rdac847d95af34331" /><Relationship Type="http://schemas.openxmlformats.org/officeDocument/2006/relationships/worksheet" Target="/xl/worksheets/sheet6.xml" Id="R557b001bb2934b6e" /><Relationship Type="http://schemas.openxmlformats.org/officeDocument/2006/relationships/worksheet" Target="/xl/worksheets/sheet7.xml" Id="Rdaddb2f09f46478e" /><Relationship Type="http://schemas.openxmlformats.org/officeDocument/2006/relationships/worksheet" Target="/xl/worksheets/sheet8.xml" Id="Rf305adb73790450c" /><Relationship Type="http://schemas.openxmlformats.org/officeDocument/2006/relationships/worksheet" Target="/xl/worksheets/sheet9.xml" Id="R2eadc4ff12044fb3" /><Relationship Type="http://schemas.openxmlformats.org/officeDocument/2006/relationships/worksheet" Target="/xl/worksheets/sheet10.xml" Id="Rfdf4b91f09c84b42" /><Relationship Type="http://schemas.openxmlformats.org/officeDocument/2006/relationships/worksheet" Target="/xl/worksheets/sheet11.xml" Id="R24e695d751104506" /><Relationship Type="http://schemas.openxmlformats.org/officeDocument/2006/relationships/worksheet" Target="/xl/worksheets/sheet12.xml" Id="R5302923165da46ba" /><Relationship Type="http://schemas.openxmlformats.org/officeDocument/2006/relationships/worksheet" Target="/xl/worksheets/sheet13.xml" Id="Rd51cadf21b2640ea" /><Relationship Type="http://schemas.openxmlformats.org/officeDocument/2006/relationships/worksheet" Target="/xl/worksheets/sheet14.xml" Id="Rc27a2e83deb04288" /><Relationship Type="http://schemas.openxmlformats.org/officeDocument/2006/relationships/worksheet" Target="/xl/worksheets/sheet15.xml" Id="R30870b352b7f4b64" /><Relationship Type="http://schemas.openxmlformats.org/officeDocument/2006/relationships/worksheet" Target="/xl/worksheets/sheet16.xml" Id="R903b2b527352457a" /><Relationship Type="http://schemas.openxmlformats.org/officeDocument/2006/relationships/worksheet" Target="/xl/worksheets/sheet17.xml" Id="Rae99e36803394998" /><Relationship Type="http://schemas.openxmlformats.org/officeDocument/2006/relationships/worksheet" Target="/xl/worksheets/sheet18.xml" Id="R8c6ca3c2341a4670" /><Relationship Type="http://schemas.openxmlformats.org/officeDocument/2006/relationships/worksheet" Target="/xl/worksheets/sheet19.xml" Id="R4d365d11176945ac" /><Relationship Type="http://schemas.openxmlformats.org/officeDocument/2006/relationships/worksheet" Target="/xl/worksheets/sheet20.xml" Id="R161d506f1f78407c" /><Relationship Type="http://schemas.openxmlformats.org/officeDocument/2006/relationships/worksheet" Target="/xl/worksheets/sheet21.xml" Id="Rd1f60300a1704d6a" /><Relationship Type="http://schemas.openxmlformats.org/officeDocument/2006/relationships/worksheet" Target="/xl/worksheets/sheet22.xml" Id="R301f5e42a0d04989" /><Relationship Type="http://schemas.openxmlformats.org/officeDocument/2006/relationships/worksheet" Target="/xl/worksheets/sheet23.xml" Id="R01b6044144c44d34" /><Relationship Type="http://schemas.openxmlformats.org/officeDocument/2006/relationships/worksheet" Target="/xl/worksheets/sheet24.xml" Id="R635b4cd1b0f74763" /><Relationship Type="http://schemas.openxmlformats.org/officeDocument/2006/relationships/worksheet" Target="/xl/worksheets/sheet25.xml" Id="R21384365b9414068" /><Relationship Type="http://schemas.openxmlformats.org/officeDocument/2006/relationships/worksheet" Target="/xl/worksheets/sheet26.xml" Id="R2c8c0036c8f7402c" /><Relationship Type="http://schemas.openxmlformats.org/officeDocument/2006/relationships/worksheet" Target="/xl/worksheets/sheet27.xml" Id="Rfd19408322d341b0" /><Relationship Type="http://schemas.openxmlformats.org/officeDocument/2006/relationships/worksheet" Target="/xl/worksheets/sheet28.xml" Id="R77aa4fceafca4452" /><Relationship Type="http://schemas.openxmlformats.org/officeDocument/2006/relationships/worksheet" Target="/xl/worksheets/sheet29.xml" Id="Rf8b407eb366a4223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4" hidden="0" customWidth="1"/>
    <x:col min="2" max="2" width="96" hidden="0" customWidth="1"/>
  </x:cols>
  <x:sheetData>
    <x:row r="1" ht="21.600000381469727" hidden="0">
      <x:c r="A1" s="1" t="s">
        <x:v>0</x:v>
      </x:c>
    </x:row>
    <x:row r="3" ht="17.149999618530273" hidden="0">
      <x:c r="A3" s="2" t="s">
        <x:v>1</x:v>
      </x:c>
      <x:c r="B3" s="3" t="s">
        <x:v>2</x:v>
      </x:c>
    </x:row>
    <x:row r="4" ht="17.149999618530273" hidden="0">
      <x:c r="A4" s="2" t="s">
        <x:v>3</x:v>
      </x:c>
      <x:c r="B4" s="3" t="s">
        <x:v>4</x:v>
      </x:c>
    </x:row>
    <x:row r="5" ht="32.79999923706055" hidden="0">
      <x:c r="A5" s="2" t="s">
        <x:v>5</x:v>
      </x:c>
      <x:c r="B5" s="4" t="s">
        <x:v>6</x:v>
      </x:c>
    </x:row>
    <x:row r="6" ht="17.149999618530273" hidden="0">
      <x:c r="A6" s="2" t="s">
        <x:v>7</x:v>
      </x:c>
      <x:c r="B6" s="3" t="s">
        <x:v>8</x:v>
      </x:c>
    </x:row>
    <x:row r="7" ht="17.149999618530273" hidden="0">
      <x:c r="A7" s="2" t="s">
        <x:v>9</x:v>
      </x:c>
      <x:c r="B7" s="3" t="s">
        <x:v>10</x:v>
      </x:c>
    </x:row>
    <x:row r="8" ht="15" hidden="0">
      <x:c r="A8" s="5"/>
      <x:c r="B8" s="3"/>
    </x:row>
    <x:row r="9" ht="15" hidden="0">
      <x:c r="A9" s="2" t="s">
        <x:v>11</x:v>
      </x:c>
      <x:c r="B9" s="3"/>
    </x:row>
    <x:row r="10" ht="17.149999618530273" hidden="0">
      <x:c r="A10" s="6" t="s">
        <x:v>12</x:v>
      </x:c>
      <x:c r="B10" s="3" t="s">
        <x:v>13</x:v>
      </x:c>
    </x:row>
    <x:row r="11" ht="17.149999618530273" hidden="0">
      <x:c r="A11" s="6" t="s">
        <x:v>14</x:v>
      </x:c>
      <x:c r="B11" s="4" t="s">
        <x:v>15</x:v>
      </x:c>
    </x:row>
    <x:row r="12" ht="17.149999618530273" hidden="0">
      <x:c r="A12" s="6" t="s">
        <x:v>16</x:v>
      </x:c>
      <x:c r="B12" s="3" t="s">
        <x:v>17</x:v>
      </x:c>
    </x:row>
    <x:row r="13" ht="17.149999618530273" hidden="0">
      <x:c r="A13" s="6" t="s">
        <x:v>18</x:v>
      </x:c>
      <x:c r="B13" s="3" t="s">
        <x:v>19</x:v>
      </x:c>
    </x:row>
    <x:row r="14" ht="17.149999618530273" hidden="0">
      <x:c r="A14" s="6" t="s">
        <x:v>20</x:v>
      </x:c>
      <x:c r="B14" s="3" t="s">
        <x:v>21</x:v>
      </x:c>
    </x:row>
    <x:row r="15" ht="17.149999618530273" hidden="0">
      <x:c r="A15" s="6" t="s">
        <x:v>22</x:v>
      </x:c>
      <x:c r="B15" s="3" t="s">
        <x:v>23</x:v>
      </x:c>
    </x:row>
    <x:row r="16" ht="17.149999618530273" hidden="0">
      <x:c r="A16" s="6" t="s">
        <x:v>24</x:v>
      </x:c>
      <x:c r="B16" s="3" t="s">
        <x:v>25</x:v>
      </x:c>
    </x:row>
    <x:row r="17" ht="17.149999618530273" hidden="0">
      <x:c r="A17" s="6" t="s">
        <x:v>26</x:v>
      </x:c>
      <x:c r="B17" s="3" t="s">
        <x:v>27</x:v>
      </x:c>
    </x:row>
    <x:row r="18" ht="17.149999618530273" hidden="0">
      <x:c r="A18" s="6" t="s">
        <x:v>28</x:v>
      </x:c>
      <x:c r="B18" s="3" t="s">
        <x:v>29</x:v>
      </x:c>
    </x:row>
    <x:row r="19" ht="17.149999618530273" hidden="0">
      <x:c r="A19" s="6" t="s">
        <x:v>30</x:v>
      </x:c>
      <x:c r="B19" s="3" t="s">
        <x:v>31</x:v>
      </x:c>
    </x:row>
    <x:row r="20" ht="17.149999618530273" hidden="0">
      <x:c r="A20" s="5" t="s">
        <x:v>32</x:v>
      </x:c>
      <x:c r="B20" s="3" t="s">
        <x:v>33</x:v>
      </x:c>
    </x:row>
    <x:row r="21" ht="17.149999618530273" hidden="0">
      <x:c r="A21" s="6" t="s">
        <x:v>34</x:v>
      </x:c>
      <x:c r="B21" s="3" t="s">
        <x:v>35</x:v>
      </x:c>
    </x:row>
    <x:row r="22" ht="17.149999618530273" hidden="0">
      <x:c r="A22" s="6" t="s">
        <x:v>36</x:v>
      </x:c>
      <x:c r="B22" s="3" t="s">
        <x:v>37</x:v>
      </x:c>
    </x:row>
    <x:row r="23" ht="17.149999618530273" hidden="0">
      <x:c r="A23" s="6" t="s">
        <x:v>38</x:v>
      </x:c>
      <x:c r="B23" s="3" t="s">
        <x:v>39</x:v>
      </x:c>
    </x:row>
    <x:row r="24" ht="17.149999618530273" hidden="0">
      <x:c r="A24" s="6" t="s">
        <x:v>40</x:v>
      </x:c>
      <x:c r="B24" s="3" t="s">
        <x:v>41</x:v>
      </x:c>
    </x:row>
    <x:row r="25" ht="17.149999618530273" hidden="0">
      <x:c r="A25" s="6" t="s">
        <x:v>42</x:v>
      </x:c>
      <x:c r="B25" s="3" t="s">
        <x:v>43</x:v>
      </x:c>
    </x:row>
    <x:row r="26" ht="17.149999618530273" hidden="0">
      <x:c r="A26" s="6" t="s">
        <x:v>44</x:v>
      </x:c>
      <x:c r="B26" s="3" t="s">
        <x:v>45</x:v>
      </x:c>
    </x:row>
    <x:row r="27" ht="17.149999618530273" hidden="0">
      <x:c r="A27" s="6" t="s">
        <x:v>46</x:v>
      </x:c>
      <x:c r="B27" s="3" t="s">
        <x:v>47</x:v>
      </x:c>
    </x:row>
    <x:row r="28" ht="17.149999618530273" hidden="0">
      <x:c r="A28" s="6" t="s">
        <x:v>48</x:v>
      </x:c>
      <x:c r="B28" s="3" t="s">
        <x:v>49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6" hidden="0" customWidth="1"/>
    <x:col min="2" max="3" width="12" hidden="0" customWidth="1"/>
    <x:col min="4" max="4" width="52" hidden="0" customWidth="1"/>
  </x:cols>
  <x:sheetData>
    <x:row r="1" ht="17.350000381469727" hidden="0">
      <x:c r="A1" s="1" t="s">
        <x:v>50</x:v>
      </x:c>
    </x:row>
    <x:row r="3" ht="17.149999618530273" hidden="0">
      <x:c r="A3" s="7" t="s">
        <x:v>51</x:v>
      </x:c>
      <x:c r="B3" s="7" t="s">
        <x:v>52</x:v>
      </x:c>
      <x:c r="C3" s="7" t="s">
        <x:v>53</x:v>
      </x:c>
      <x:c r="D3" s="7" t="s">
        <x:v>54</x:v>
      </x:c>
    </x:row>
    <x:row r="4" ht="17.149999618530273" hidden="0">
      <x:c r="A4" s="8" t="s">
        <x:v>55</x:v>
      </x:c>
      <x:c r="B4" s="9" t="n">
        <x:v>10</x:v>
      </x:c>
      <x:c r="C4" s="10" t="s">
        <x:v>56</x:v>
      </x:c>
      <x:c r="D4" s="11" t="s">
        <x:v>57</x:v>
      </x:c>
    </x:row>
    <x:row r="5" ht="17.149999618530273" hidden="0">
      <x:c r="A5" s="8" t="s">
        <x:v>58</x:v>
      </x:c>
      <x:c r="B5" s="9" t="n">
        <x:v>5</x:v>
      </x:c>
      <x:c r="C5" s="10" t="s">
        <x:v>56</x:v>
      </x:c>
      <x:c r="D5" s="11" t="s">
        <x:v>59</x:v>
      </x:c>
    </x:row>
    <x:row r="6" ht="17.149999618530273" hidden="0">
      <x:c r="A6" s="8" t="s">
        <x:v>60</x:v>
      </x:c>
      <x:c r="B6" s="9" t="n">
        <x:v>0.1</x:v>
      </x:c>
      <x:c r="C6" s="10" t="s">
        <x:v>61</x:v>
      </x:c>
      <x:c r="D6" s="11" t="s">
        <x:v>62</x:v>
      </x:c>
    </x:row>
    <x:row r="7" ht="17.149999618530273" hidden="0">
      <x:c r="A7" s="8" t="s">
        <x:v>63</x:v>
      </x:c>
      <x:c r="B7" s="9" t="n">
        <x:v>0.333</x:v>
      </x:c>
      <x:c r="C7" s="10" t="s">
        <x:v>64</x:v>
      </x:c>
      <x:c r="D7" s="11" t="s">
        <x:v>65</x:v>
      </x:c>
    </x:row>
    <x:row r="8" ht="17.149999618530273" hidden="0">
      <x:c r="A8" s="8" t="s">
        <x:v>66</x:v>
      </x:c>
      <x:c r="B8" s="9" t="n">
        <x:v>10</x:v>
      </x:c>
      <x:c r="C8" s="10" t="s">
        <x:v>56</x:v>
      </x:c>
      <x:c r="D8" s="11" t="s">
        <x:v>67</x:v>
      </x:c>
    </x:row>
    <x:row r="9" ht="17.149999618530273" hidden="0">
      <x:c r="A9" s="8" t="s">
        <x:v>68</x:v>
      </x:c>
      <x:c r="B9" s="9" t="n">
        <x:v>30</x:v>
      </x:c>
      <x:c r="C9" s="10" t="s">
        <x:v>56</x:v>
      </x:c>
      <x:c r="D9" s="11" t="s">
        <x:v>69</x:v>
      </x:c>
    </x:row>
    <x:row r="10" ht="17.149999618530273" hidden="0">
      <x:c r="A10" s="8" t="s">
        <x:v>70</x:v>
      </x:c>
      <x:c r="B10" s="9" t="n">
        <x:v>15</x:v>
      </x:c>
      <x:c r="C10" s="10" t="s">
        <x:v>56</x:v>
      </x:c>
      <x:c r="D10" s="11" t="s">
        <x:v>71</x:v>
      </x:c>
    </x:row>
    <x:row r="11" ht="17.149999618530273" hidden="0">
      <x:c r="A11" s="8" t="s">
        <x:v>72</x:v>
      </x:c>
      <x:c r="B11" s="9" t="n">
        <x:v>0.15</x:v>
      </x:c>
      <x:c r="C11" s="10" t="s">
        <x:v>73</x:v>
      </x:c>
      <x:c r="D11" s="11" t="s">
        <x:v>74</x:v>
      </x:c>
    </x:row>
    <x:row r="12" ht="17.149999618530273" hidden="0">
      <x:c r="A12" s="8" t="s">
        <x:v>75</x:v>
      </x:c>
      <x:c r="B12" s="9" t="n">
        <x:v>0.5</x:v>
      </x:c>
      <x:c r="C12" s="10" t="s">
        <x:v>73</x:v>
      </x:c>
      <x:c r="D12" s="11" t="s">
        <x:v>76</x:v>
      </x:c>
    </x:row>
    <x:row r="13" ht="32.79999923706055" hidden="0">
      <x:c r="A13" s="8" t="s">
        <x:v>77</x:v>
      </x:c>
      <x:c r="B13" s="9" t="n">
        <x:v>0.3</x:v>
      </x:c>
      <x:c r="C13" s="10" t="s">
        <x:v>73</x:v>
      </x:c>
      <x:c r="D13" s="11" t="s">
        <x:v>78</x:v>
      </x:c>
    </x:row>
    <x:row r="14" ht="17.149999618530273" hidden="0">
      <x:c r="A14" s="8" t="s">
        <x:v>79</x:v>
      </x:c>
      <x:c r="B14" s="12" t="s">
        <x:v>80</x:v>
      </x:c>
      <x:c r="C14" s="13" t="s">
        <x:v>81</x:v>
      </x:c>
      <x:c r="D14" s="11" t="s">
        <x:v>82</x:v>
      </x:c>
    </x:row>
    <x:row r="15" ht="17.149999618530273" hidden="0">
      <x:c r="A15" s="8" t="s">
        <x:v>83</x:v>
      </x:c>
      <x:c r="B15" s="9" t="n">
        <x:v>300</x:v>
      </x:c>
      <x:c r="C15" s="10" t="s">
        <x:v>56</x:v>
      </x:c>
      <x:c r="D15" s="11" t="s">
        <x:v>84</x:v>
      </x:c>
    </x:row>
    <x:row r="16" ht="17.149999618530273" hidden="0">
      <x:c r="A16" s="8" t="s">
        <x:v>85</x:v>
      </x:c>
      <x:c r="B16" s="9" t="n">
        <x:v>10</x:v>
      </x:c>
      <x:c r="C16" s="10" t="s">
        <x:v>86</x:v>
      </x:c>
      <x:c r="D16" s="11" t="s">
        <x:v>87</x:v>
      </x:c>
    </x:row>
    <x:row r="17" ht="17.149999618530273" hidden="0">
      <x:c r="A17" s="8" t="s">
        <x:v>88</x:v>
      </x:c>
      <x:c r="B17" s="9" t="n">
        <x:v>10</x:v>
      </x:c>
      <x:c r="C17" s="10" t="s">
        <x:v>86</x:v>
      </x:c>
      <x:c r="D17" s="11" t="s">
        <x:v>89</x:v>
      </x:c>
    </x:row>
    <x:row r="18" ht="17.149999618530273" hidden="0">
      <x:c r="A18" s="8" t="s">
        <x:v>90</x:v>
      </x:c>
      <x:c r="B18" s="12" t="s">
        <x:v>91</x:v>
      </x:c>
      <x:c r="C18" s="13" t="s">
        <x:v>81</x:v>
      </x:c>
      <x:c r="D18" s="11" t="s">
        <x:v>92</x:v>
      </x:c>
    </x:row>
    <x:row r="19" ht="17.149999618530273" hidden="0">
      <x:c r="A19" s="8" t="s">
        <x:v>93</x:v>
      </x:c>
      <x:c r="B19" s="9" t="n">
        <x:v>84</x:v>
      </x:c>
      <x:c r="C19" s="10" t="s">
        <x:v>94</x:v>
      </x:c>
      <x:c r="D19" s="11" t="s">
        <x:v>95</x:v>
      </x:c>
    </x:row>
    <x:row r="20" ht="17.149999618530273" hidden="0">
      <x:c r="A20" s="8" t="s">
        <x:v>96</x:v>
      </x:c>
      <x:c r="B20" s="9" t="n">
        <x:v>10</x:v>
      </x:c>
      <x:c r="C20" s="13" t="s">
        <x:v>97</x:v>
      </x:c>
      <x:c r="D20" s="11" t="s">
        <x:v>98</x:v>
      </x:c>
    </x:row>
    <x:row r="21" ht="17.149999618530273" hidden="0">
      <x:c r="A21" s="8" t="s">
        <x:v>99</x:v>
      </x:c>
      <x:c r="B21" s="9" t="n">
        <x:v>5</x:v>
      </x:c>
      <x:c r="C21" s="10" t="s">
        <x:v>100</x:v>
      </x:c>
      <x:c r="D21" s="11" t="s">
        <x:v>101</x:v>
      </x:c>
    </x:row>
    <x:row r="22" ht="17.149999618530273" hidden="0">
      <x:c r="A22" s="8" t="s">
        <x:v>102</x:v>
      </x:c>
      <x:c r="B22" s="9" t="n">
        <x:v>0.2</x:v>
      </x:c>
      <x:c r="C22" s="10" t="s">
        <x:v>73</x:v>
      </x:c>
      <x:c r="D22" s="11" t="s">
        <x:v>103</x:v>
      </x:c>
    </x:row>
    <x:row r="23" ht="17.149999618530273" hidden="0">
      <x:c r="A23" s="8" t="s">
        <x:v>104</x:v>
      </x:c>
      <x:c r="B23" s="9" t="n">
        <x:v>0.2</x:v>
      </x:c>
      <x:c r="C23" s="10" t="s">
        <x:v>73</x:v>
      </x:c>
      <x:c r="D23" s="11" t="s">
        <x:v>105</x:v>
      </x:c>
    </x:row>
    <x:row r="24" ht="17.149999618530273" hidden="0">
      <x:c r="A24" s="8" t="s">
        <x:v>106</x:v>
      </x:c>
      <x:c r="B24" s="9" t="n">
        <x:v>1.5</x:v>
      </x:c>
      <x:c r="C24" s="10" t="s">
        <x:v>107</x:v>
      </x:c>
      <x:c r="D24" s="11" t="s">
        <x:v>108</x:v>
      </x:c>
    </x:row>
    <x:row r="25" ht="17.149999618530273" hidden="0">
      <x:c r="A25" s="8" t="s">
        <x:v>109</x:v>
      </x:c>
      <x:c r="B25" s="9" t="n">
        <x:v>5</x:v>
      </x:c>
      <x:c r="C25" s="10" t="s">
        <x:v>56</x:v>
      </x:c>
      <x:c r="D25" s="11" t="s">
        <x:v>110</x:v>
      </x:c>
    </x:row>
    <x:row r="26" ht="17.149999618530273" hidden="0">
      <x:c r="A26" s="8" t="s">
        <x:v>111</x:v>
      </x:c>
      <x:c r="B26" s="9" t="n">
        <x:v>50</x:v>
      </x:c>
      <x:c r="C26" s="10" t="s">
        <x:v>56</x:v>
      </x:c>
      <x:c r="D26" s="11" t="str">
        <x:v>走火入魔可消耗50法力回復正常</x:v>
      </x:c>
    </x:row>
    <x:row r="27">
      <x:c r="A27" t="str">
        <x:v>meditate_hp_interval_sec</x:v>
      </x:c>
      <x:c r="B27" t="n">
        <x:v>10</x:v>
      </x:c>
      <x:c r="C27" t="str">
        <x:v>秒</x:v>
      </x:c>
      <x:c r="D27" t="str">
        <x:v>持續打坐每10秒恢復1點體力</x:v>
      </x:c>
    </x:row>
    <x:row r="28">
      <x:c r="A28" t="str">
        <x:v>meditate_hp_gain</x:v>
      </x:c>
      <x:c r="B28" t="n">
        <x:v>1</x:v>
      </x:c>
      <x:c r="C28" t="str">
        <x:v>體力</x:v>
      </x:c>
      <x:c r="D28" t="str">
        <x:v>每次打坐體力回復量</x:v>
      </x:c>
    </x:row>
    <x:row r="29">
      <x:c r="A29" t="str">
        <x:v>meditate_mp_interval_sec</x:v>
      </x:c>
      <x:c r="B29" t="n">
        <x:v>4</x:v>
      </x:c>
      <x:c r="C29" t="str">
        <x:v>秒</x:v>
      </x:c>
      <x:c r="D29" t="str">
        <x:v>持續打坐每4秒恢復1點精力／法力</x:v>
      </x:c>
    </x:row>
    <x:row r="30">
      <x:c r="A30" t="str">
        <x:v>meditate_mp_gain</x:v>
      </x:c>
      <x:c r="B30" t="n">
        <x:v>1</x:v>
      </x:c>
      <x:c r="C30" t="str">
        <x:v>精力</x:v>
      </x:c>
      <x:c r="D30" t="str">
        <x:v>每次打坐精力回復量</x:v>
      </x:c>
    </x:row>
    <x:row r="31">
      <x:c r="A31" t="str">
        <x:v>meditate_exp_interval_sec</x:v>
      </x:c>
      <x:c r="B31" t="n">
        <x:v>20</x:v>
      </x:c>
      <x:c r="C31" t="str">
        <x:v>秒</x:v>
      </x:c>
      <x:c r="D31" t="str">
        <x:v>一般區域持續打坐每20秒獲得1點經驗</x:v>
      </x:c>
    </x:row>
    <x:row r="32">
      <x:c r="A32" t="str">
        <x:v>meditate_novice_exp_interval_sec</x:v>
      </x:c>
      <x:c r="B32" t="n">
        <x:v>2</x:v>
      </x:c>
      <x:c r="C32" t="str">
        <x:v>秒</x:v>
      </x:c>
      <x:c r="D32" t="str">
        <x:v>新手村修煉加速：每2秒獲得1點經驗</x:v>
      </x:c>
    </x:row>
    <x:row r="33">
      <x:c r="A33" t="str">
        <x:v>ai_player_count</x:v>
      </x:c>
      <x:c r="B33" t="n">
        <x:v>50</x:v>
      </x:c>
      <x:c r="C33" t="str">
        <x:v>人</x:v>
      </x:c>
      <x:c r="D33" t="str">
        <x:v>世界初始化的AI修士數量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6" hidden="0" customWidth="1"/>
    <x:col min="2" max="2" width="10" hidden="0" customWidth="1"/>
    <x:col min="3" max="4" width="14" hidden="0" customWidth="1"/>
    <x:col min="5" max="6" width="12" hidden="0" customWidth="1"/>
    <x:col min="7" max="8" width="10" hidden="0" customWidth="1"/>
    <x:col min="9" max="9" width="8" hidden="0" customWidth="1"/>
    <x:col min="10" max="10" width="10" hidden="0" customWidth="1"/>
    <x:col min="11" max="11" width="22" hidden="0" customWidth="1"/>
  </x:cols>
  <x:sheetData>
    <x:row r="1" ht="21.600000381469727" hidden="0">
      <x:c r="A1" s="1" t="s">
        <x:v>112</x:v>
      </x:c>
    </x:row>
    <x:row r="3" ht="15" hidden="0">
      <x:c r="A3" s="7" t="s">
        <x:v>113</x:v>
      </x:c>
      <x:c r="B3" s="7" t="s">
        <x:v>114</x:v>
      </x:c>
      <x:c r="C3" s="7" t="s">
        <x:v>115</x:v>
      </x:c>
      <x:c r="D3" s="7" t="s">
        <x:v>116</x:v>
      </x:c>
      <x:c r="E3" s="7" t="s">
        <x:v>117</x:v>
      </x:c>
      <x:c r="F3" s="7" t="s">
        <x:v>118</x:v>
      </x:c>
      <x:c r="G3" s="7" t="s">
        <x:v>119</x:v>
      </x:c>
      <x:c r="H3" s="7" t="s">
        <x:v>120</x:v>
      </x:c>
      <x:c r="I3" s="7" t="s">
        <x:v>121</x:v>
      </x:c>
      <x:c r="J3" s="7" t="s">
        <x:v>122</x:v>
      </x:c>
      <x:c r="K3" s="7" t="s">
        <x:v>54</x:v>
      </x:c>
    </x:row>
    <x:row r="4" ht="17.149999618530273" hidden="0">
      <x:c r="A4" s="10" t="n">
        <x:v>1</x:v>
      </x:c>
      <x:c r="B4" s="11" t="s">
        <x:v>123</x:v>
      </x:c>
      <x:c r="C4" s="14" t="n">
        <x:v>27</x:v>
      </x:c>
      <x:c r="D4" s="15" t="n">
        <x:f aca="0">C4</x:f>
        <x:v>27</x:v>
      </x:c>
      <x:c r="E4" s="14" t="n">
        <x:v>100</x:v>
      </x:c>
      <x:c r="F4" s="14" t="n">
        <x:v>50</x:v>
      </x:c>
      <x:c r="G4" s="14" t="n">
        <x:v>10</x:v>
      </x:c>
      <x:c r="H4" s="14" t="n">
        <x:v>5</x:v>
      </x:c>
      <x:c r="I4" s="10" t="s">
        <x:v>124</x:v>
      </x:c>
      <x:c r="J4" s="10"/>
      <x:c r="K4" s="11" t="s">
        <x:v>125</x:v>
      </x:c>
    </x:row>
    <x:row r="5" ht="17.149999618530273" hidden="0">
      <x:c r="A5" s="10" t="n">
        <x:v>2</x:v>
      </x:c>
      <x:c r="B5" s="11" t="s">
        <x:v>123</x:v>
      </x:c>
      <x:c r="C5" s="14" t="n">
        <x:v>60</x:v>
      </x:c>
      <x:c r="D5" s="15" t="n">
        <x:f aca="0">D4+C5</x:f>
        <x:v>87</x:v>
      </x:c>
      <x:c r="E5" s="14" t="n">
        <x:v>130</x:v>
      </x:c>
      <x:c r="F5" s="14" t="n">
        <x:v>60</x:v>
      </x:c>
      <x:c r="G5" s="14" t="n">
        <x:v>13</x:v>
      </x:c>
      <x:c r="H5" s="14" t="n">
        <x:v>8</x:v>
      </x:c>
      <x:c r="I5" s="10" t="s">
        <x:v>124</x:v>
      </x:c>
      <x:c r="J5" s="10"/>
      <x:c r="K5" s="11"/>
    </x:row>
    <x:row r="6" ht="17.149999618530273" hidden="0">
      <x:c r="A6" s="10" t="n">
        <x:v>3</x:v>
      </x:c>
      <x:c r="B6" s="11" t="s">
        <x:v>123</x:v>
      </x:c>
      <x:c r="C6" s="14" t="n">
        <x:v>110</x:v>
      </x:c>
      <x:c r="D6" s="15" t="n">
        <x:f aca="0">D5+C6</x:f>
        <x:v>197</x:v>
      </x:c>
      <x:c r="E6" s="14" t="n">
        <x:v>165</x:v>
      </x:c>
      <x:c r="F6" s="14" t="n">
        <x:v>72</x:v>
      </x:c>
      <x:c r="G6" s="14" t="n">
        <x:v>17</x:v>
      </x:c>
      <x:c r="H6" s="14" t="n">
        <x:v>11</x:v>
      </x:c>
      <x:c r="I6" s="10" t="s">
        <x:v>124</x:v>
      </x:c>
      <x:c r="J6" s="10"/>
      <x:c r="K6" s="11"/>
    </x:row>
    <x:row r="7" ht="17.149999618530273" hidden="0">
      <x:c r="A7" s="10" t="n">
        <x:v>4</x:v>
      </x:c>
      <x:c r="B7" s="11" t="s">
        <x:v>123</x:v>
      </x:c>
      <x:c r="C7" s="14" t="n">
        <x:v>180</x:v>
      </x:c>
      <x:c r="D7" s="15" t="n">
        <x:f aca="0">D6+C7</x:f>
        <x:v>377</x:v>
      </x:c>
      <x:c r="E7" s="14" t="n">
        <x:v>205</x:v>
      </x:c>
      <x:c r="F7" s="14" t="n">
        <x:v>86</x:v>
      </x:c>
      <x:c r="G7" s="14" t="n">
        <x:v>22</x:v>
      </x:c>
      <x:c r="H7" s="14" t="n">
        <x:v>15</x:v>
      </x:c>
      <x:c r="I7" s="10" t="s">
        <x:v>124</x:v>
      </x:c>
      <x:c r="J7" s="10"/>
      <x:c r="K7" s="11"/>
    </x:row>
    <x:row r="8" ht="17.149999618530273" hidden="0">
      <x:c r="A8" s="10" t="n">
        <x:v>5</x:v>
      </x:c>
      <x:c r="B8" s="11" t="s">
        <x:v>123</x:v>
      </x:c>
      <x:c r="C8" s="14" t="n">
        <x:v>280</x:v>
      </x:c>
      <x:c r="D8" s="15" t="n">
        <x:f aca="0">D7+C8</x:f>
        <x:v>657</x:v>
      </x:c>
      <x:c r="E8" s="14" t="n">
        <x:v>260</x:v>
      </x:c>
      <x:c r="F8" s="14" t="n">
        <x:v>105</x:v>
      </x:c>
      <x:c r="G8" s="14" t="n">
        <x:v>28</x:v>
      </x:c>
      <x:c r="H8" s="14" t="n">
        <x:v>20</x:v>
      </x:c>
      <x:c r="I8" s="16" t="s">
        <x:v>126</x:v>
      </x:c>
      <x:c r="J8" s="10" t="s">
        <x:v>127</x:v>
      </x:c>
      <x:c r="K8" s="11" t="s">
        <x:v>128</x:v>
      </x:c>
    </x:row>
    <x:row r="9" ht="17.149999618530273" hidden="0">
      <x:c r="A9" s="10" t="n">
        <x:v>6</x:v>
      </x:c>
      <x:c r="B9" s="11" t="s">
        <x:v>127</x:v>
      </x:c>
      <x:c r="C9" s="14" t="n">
        <x:v>450</x:v>
      </x:c>
      <x:c r="D9" s="15" t="n">
        <x:f aca="0">D8+C9</x:f>
        <x:v>1107</x:v>
      </x:c>
      <x:c r="E9" s="14" t="n">
        <x:v>900</x:v>
      </x:c>
      <x:c r="F9" s="14" t="n">
        <x:v>300</x:v>
      </x:c>
      <x:c r="G9" s="14" t="n">
        <x:v>110</x:v>
      </x:c>
      <x:c r="H9" s="14" t="n">
        <x:v>100</x:v>
      </x:c>
      <x:c r="I9" s="10" t="s">
        <x:v>124</x:v>
      </x:c>
      <x:c r="J9" s="10"/>
      <x:c r="K9" s="11"/>
    </x:row>
    <x:row r="10" ht="17.149999618530273" hidden="0">
      <x:c r="A10" s="10" t="n">
        <x:v>7</x:v>
      </x:c>
      <x:c r="B10" s="11" t="s">
        <x:v>127</x:v>
      </x:c>
      <x:c r="C10" s="14" t="n">
        <x:v>700</x:v>
      </x:c>
      <x:c r="D10" s="15" t="n">
        <x:f aca="0">D9+C10</x:f>
        <x:v>1807</x:v>
      </x:c>
      <x:c r="E10" s="14" t="n">
        <x:v>1150</x:v>
      </x:c>
      <x:c r="F10" s="14" t="n">
        <x:v>380</x:v>
      </x:c>
      <x:c r="G10" s="14" t="n">
        <x:v>145</x:v>
      </x:c>
      <x:c r="H10" s="14" t="n">
        <x:v>132</x:v>
      </x:c>
      <x:c r="I10" s="10" t="s">
        <x:v>124</x:v>
      </x:c>
      <x:c r="J10" s="10"/>
      <x:c r="K10" s="11"/>
    </x:row>
    <x:row r="11" ht="17.149999618530273" hidden="0">
      <x:c r="A11" s="10" t="n">
        <x:v>8</x:v>
      </x:c>
      <x:c r="B11" s="11" t="s">
        <x:v>127</x:v>
      </x:c>
      <x:c r="C11" s="14" t="n">
        <x:v>1050</x:v>
      </x:c>
      <x:c r="D11" s="15" t="n">
        <x:f aca="0">D10+C11</x:f>
        <x:v>2857</x:v>
      </x:c>
      <x:c r="E11" s="14" t="n">
        <x:v>1450</x:v>
      </x:c>
      <x:c r="F11" s="14" t="n">
        <x:v>475</x:v>
      </x:c>
      <x:c r="G11" s="14" t="n">
        <x:v>188</x:v>
      </x:c>
      <x:c r="H11" s="14" t="n">
        <x:v>172</x:v>
      </x:c>
      <x:c r="I11" s="10" t="s">
        <x:v>124</x:v>
      </x:c>
      <x:c r="J11" s="10"/>
      <x:c r="K11" s="11"/>
    </x:row>
    <x:row r="12" ht="17.149999618530273" hidden="0">
      <x:c r="A12" s="10" t="n">
        <x:v>9</x:v>
      </x:c>
      <x:c r="B12" s="11" t="s">
        <x:v>127</x:v>
      </x:c>
      <x:c r="C12" s="14" t="n">
        <x:v>1550</x:v>
      </x:c>
      <x:c r="D12" s="15" t="n">
        <x:f aca="0">D11+C12</x:f>
        <x:v>4407</x:v>
      </x:c>
      <x:c r="E12" s="14" t="n">
        <x:v>1800</x:v>
      </x:c>
      <x:c r="F12" s="14" t="n">
        <x:v>585</x:v>
      </x:c>
      <x:c r="G12" s="14" t="n">
        <x:v>240</x:v>
      </x:c>
      <x:c r="H12" s="14" t="n">
        <x:v>220</x:v>
      </x:c>
      <x:c r="I12" s="10" t="s">
        <x:v>124</x:v>
      </x:c>
      <x:c r="J12" s="10"/>
      <x:c r="K12" s="11"/>
    </x:row>
    <x:row r="13" ht="17.149999618530273" hidden="0">
      <x:c r="A13" s="10" t="n">
        <x:v>10</x:v>
      </x:c>
      <x:c r="B13" s="11" t="s">
        <x:v>127</x:v>
      </x:c>
      <x:c r="C13" s="14" t="n">
        <x:v>2300</x:v>
      </x:c>
      <x:c r="D13" s="15" t="n">
        <x:f aca="0">D12+C13</x:f>
        <x:v>6707</x:v>
      </x:c>
      <x:c r="E13" s="14" t="n">
        <x:v>2250</x:v>
      </x:c>
      <x:c r="F13" s="14" t="n">
        <x:v>720</x:v>
      </x:c>
      <x:c r="G13" s="14" t="n">
        <x:v>305</x:v>
      </x:c>
      <x:c r="H13" s="14" t="n">
        <x:v>280</x:v>
      </x:c>
      <x:c r="I13" s="16" t="s">
        <x:v>126</x:v>
      </x:c>
      <x:c r="J13" s="10" t="s">
        <x:v>129</x:v>
      </x:c>
      <x:c r="K13" s="11" t="s">
        <x:v>130</x:v>
      </x:c>
    </x:row>
    <x:row r="14" ht="17.149999618530273" hidden="0">
      <x:c r="A14" s="10" t="n">
        <x:v>11</x:v>
      </x:c>
      <x:c r="B14" s="11" t="s">
        <x:v>129</x:v>
      </x:c>
      <x:c r="C14" s="14" t="n">
        <x:v>3400</x:v>
      </x:c>
      <x:c r="D14" s="15" t="n">
        <x:f aca="0">D13+C14</x:f>
        <x:v>10107</x:v>
      </x:c>
      <x:c r="E14" s="14" t="n">
        <x:v>3000</x:v>
      </x:c>
      <x:c r="F14" s="14" t="n">
        <x:v>950</x:v>
      </x:c>
      <x:c r="G14" s="14" t="n">
        <x:v>360</x:v>
      </x:c>
      <x:c r="H14" s="14" t="n">
        <x:v>350</x:v>
      </x:c>
      <x:c r="I14" s="10" t="s">
        <x:v>124</x:v>
      </x:c>
      <x:c r="J14" s="10"/>
      <x:c r="K14" s="11"/>
    </x:row>
    <x:row r="15" ht="17.149999618530273" hidden="0">
      <x:c r="A15" s="10" t="n">
        <x:v>12</x:v>
      </x:c>
      <x:c r="B15" s="11" t="s">
        <x:v>129</x:v>
      </x:c>
      <x:c r="C15" s="14" t="n">
        <x:v>5000</x:v>
      </x:c>
      <x:c r="D15" s="15" t="n">
        <x:f aca="0">D14+C15</x:f>
        <x:v>15107</x:v>
      </x:c>
      <x:c r="E15" s="14" t="n">
        <x:v>3900</x:v>
      </x:c>
      <x:c r="F15" s="14" t="n">
        <x:v>1230</x:v>
      </x:c>
      <x:c r="G15" s="14" t="n">
        <x:v>470</x:v>
      </x:c>
      <x:c r="H15" s="14" t="n">
        <x:v>458</x:v>
      </x:c>
      <x:c r="I15" s="10" t="s">
        <x:v>124</x:v>
      </x:c>
      <x:c r="J15" s="10"/>
      <x:c r="K15" s="11"/>
    </x:row>
    <x:row r="16" ht="17.149999618530273" hidden="0">
      <x:c r="A16" s="10" t="n">
        <x:v>13</x:v>
      </x:c>
      <x:c r="B16" s="11" t="s">
        <x:v>129</x:v>
      </x:c>
      <x:c r="C16" s="14" t="n">
        <x:v>7300</x:v>
      </x:c>
      <x:c r="D16" s="15" t="n">
        <x:f aca="0">D15+C16</x:f>
        <x:v>22407</x:v>
      </x:c>
      <x:c r="E16" s="14" t="n">
        <x:v>5000</x:v>
      </x:c>
      <x:c r="F16" s="14" t="n">
        <x:v>1580</x:v>
      </x:c>
      <x:c r="G16" s="14" t="n">
        <x:v>610</x:v>
      </x:c>
      <x:c r="H16" s="14" t="n">
        <x:v>595</x:v>
      </x:c>
      <x:c r="I16" s="10" t="s">
        <x:v>124</x:v>
      </x:c>
      <x:c r="J16" s="10"/>
      <x:c r="K16" s="11"/>
    </x:row>
    <x:row r="17" ht="17.149999618530273" hidden="0">
      <x:c r="A17" s="10" t="n">
        <x:v>14</x:v>
      </x:c>
      <x:c r="B17" s="11" t="s">
        <x:v>129</x:v>
      </x:c>
      <x:c r="C17" s="14" t="n">
        <x:v>10500</x:v>
      </x:c>
      <x:c r="D17" s="15" t="n">
        <x:f aca="0">D16+C17</x:f>
        <x:v>32907</x:v>
      </x:c>
      <x:c r="E17" s="14" t="n">
        <x:v>6400</x:v>
      </x:c>
      <x:c r="F17" s="14" t="n">
        <x:v>2010</x:v>
      </x:c>
      <x:c r="G17" s="14" t="n">
        <x:v>785</x:v>
      </x:c>
      <x:c r="H17" s="14" t="n">
        <x:v>765</x:v>
      </x:c>
      <x:c r="I17" s="10" t="s">
        <x:v>124</x:v>
      </x:c>
      <x:c r="J17" s="10"/>
      <x:c r="K17" s="11"/>
    </x:row>
    <x:row r="18" ht="17.149999618530273" hidden="0">
      <x:c r="A18" s="10" t="n">
        <x:v>15</x:v>
      </x:c>
      <x:c r="B18" s="11" t="s">
        <x:v>129</x:v>
      </x:c>
      <x:c r="C18" s="14" t="n">
        <x:v>15000</x:v>
      </x:c>
      <x:c r="D18" s="15" t="n">
        <x:f aca="0">D17+C18</x:f>
        <x:v>47907</x:v>
      </x:c>
      <x:c r="E18" s="14" t="n">
        <x:v>8000</x:v>
      </x:c>
      <x:c r="F18" s="14" t="n">
        <x:v>2500</x:v>
      </x:c>
      <x:c r="G18" s="14" t="n">
        <x:v>980</x:v>
      </x:c>
      <x:c r="H18" s="14" t="n">
        <x:v>970</x:v>
      </x:c>
      <x:c r="I18" s="16" t="s">
        <x:v>126</x:v>
      </x:c>
      <x:c r="J18" s="10" t="s">
        <x:v>131</x:v>
      </x:c>
      <x:c r="K18" s="11" t="s">
        <x:v>132</x:v>
      </x:c>
    </x:row>
    <x:row r="19" ht="17.149999618530273" hidden="0">
      <x:c r="A19" s="10" t="n">
        <x:v>16</x:v>
      </x:c>
      <x:c r="B19" s="11" t="s">
        <x:v>131</x:v>
      </x:c>
      <x:c r="C19" s="14" t="n">
        <x:v>22000</x:v>
      </x:c>
      <x:c r="D19" s="15" t="n">
        <x:f aca="0">D18+C19</x:f>
        <x:v>69907</x:v>
      </x:c>
      <x:c r="E19" s="14" t="n">
        <x:v>11000</x:v>
      </x:c>
      <x:c r="F19" s="14" t="n">
        <x:v>3400</x:v>
      </x:c>
      <x:c r="G19" s="14" t="n">
        <x:v>1350</x:v>
      </x:c>
      <x:c r="H19" s="14" t="n">
        <x:v>1340</x:v>
      </x:c>
      <x:c r="I19" s="10" t="s">
        <x:v>124</x:v>
      </x:c>
      <x:c r="J19" s="10"/>
      <x:c r="K19" s="11"/>
    </x:row>
    <x:row r="20" ht="17.149999618530273" hidden="0">
      <x:c r="A20" s="10" t="n">
        <x:v>17</x:v>
      </x:c>
      <x:c r="B20" s="11" t="s">
        <x:v>131</x:v>
      </x:c>
      <x:c r="C20" s="14" t="n">
        <x:v>32000</x:v>
      </x:c>
      <x:c r="D20" s="15" t="n">
        <x:f aca="0">D19+C20</x:f>
        <x:v>101907</x:v>
      </x:c>
      <x:c r="E20" s="14" t="n">
        <x:v>14000</x:v>
      </x:c>
      <x:c r="F20" s="14" t="n">
        <x:v>4300</x:v>
      </x:c>
      <x:c r="G20" s="14" t="n">
        <x:v>1720</x:v>
      </x:c>
      <x:c r="H20" s="14" t="n">
        <x:v>1710</x:v>
      </x:c>
      <x:c r="I20" s="10" t="s">
        <x:v>124</x:v>
      </x:c>
      <x:c r="J20" s="10"/>
      <x:c r="K20" s="11"/>
    </x:row>
    <x:row r="21" ht="17.149999618530273" hidden="0">
      <x:c r="A21" s="10" t="n">
        <x:v>18</x:v>
      </x:c>
      <x:c r="B21" s="11" t="s">
        <x:v>131</x:v>
      </x:c>
      <x:c r="C21" s="14" t="n">
        <x:v>46000</x:v>
      </x:c>
      <x:c r="D21" s="15" t="n">
        <x:f aca="0">D20+C21</x:f>
        <x:v>147907</x:v>
      </x:c>
      <x:c r="E21" s="14" t="n">
        <x:v>17500</x:v>
      </x:c>
      <x:c r="F21" s="14" t="n">
        <x:v>5350</x:v>
      </x:c>
      <x:c r="G21" s="14" t="n">
        <x:v>2160</x:v>
      </x:c>
      <x:c r="H21" s="14" t="n">
        <x:v>2150</x:v>
      </x:c>
      <x:c r="I21" s="10" t="s">
        <x:v>124</x:v>
      </x:c>
      <x:c r="J21" s="10"/>
      <x:c r="K21" s="11"/>
    </x:row>
    <x:row r="22" ht="17.149999618530273" hidden="0">
      <x:c r="A22" s="10" t="n">
        <x:v>19</x:v>
      </x:c>
      <x:c r="B22" s="11" t="s">
        <x:v>131</x:v>
      </x:c>
      <x:c r="C22" s="14" t="n">
        <x:v>66000</x:v>
      </x:c>
      <x:c r="D22" s="15" t="n">
        <x:f aca="0">D21+C22</x:f>
        <x:v>213907</x:v>
      </x:c>
      <x:c r="E22" s="14" t="n">
        <x:v>21500</x:v>
      </x:c>
      <x:c r="F22" s="14" t="n">
        <x:v>6550</x:v>
      </x:c>
      <x:c r="G22" s="14" t="n">
        <x:v>2680</x:v>
      </x:c>
      <x:c r="H22" s="14" t="n">
        <x:v>2670</x:v>
      </x:c>
      <x:c r="I22" s="10" t="s">
        <x:v>124</x:v>
      </x:c>
      <x:c r="J22" s="10"/>
      <x:c r="K22" s="11"/>
    </x:row>
    <x:row r="23" ht="17.149999618530273" hidden="0">
      <x:c r="A23" s="10" t="n">
        <x:v>20</x:v>
      </x:c>
      <x:c r="B23" s="11" t="s">
        <x:v>131</x:v>
      </x:c>
      <x:c r="C23" s="14" t="n">
        <x:v>0</x:v>
      </x:c>
      <x:c r="D23" s="15" t="n">
        <x:f aca="0">D22+C23</x:f>
        <x:v>213907</x:v>
      </x:c>
      <x:c r="E23" s="14" t="n">
        <x:v>26000</x:v>
      </x:c>
      <x:c r="F23" s="14" t="n">
        <x:v>7900</x:v>
      </x:c>
      <x:c r="G23" s="14" t="n">
        <x:v>3300</x:v>
      </x:c>
      <x:c r="H23" s="14" t="n">
        <x:v>3290</x:v>
      </x:c>
      <x:c r="I23" s="10" t="s">
        <x:v>124</x:v>
      </x:c>
      <x:c r="J23" s="10"/>
      <x:c r="K23" s="11" t="s">
        <x:v>133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4" hidden="0" customWidth="1"/>
    <x:col min="2" max="2" width="10" hidden="0" customWidth="1"/>
    <x:col min="3" max="3" width="14" hidden="0" customWidth="1"/>
    <x:col min="4" max="4" width="12" hidden="0" customWidth="1"/>
    <x:col min="5" max="5" width="26" hidden="0" customWidth="1"/>
  </x:cols>
  <x:sheetData>
    <x:row r="1" ht="17.350000381469727" hidden="0">
      <x:c r="A1" s="1" t="s">
        <x:v>134</x:v>
      </x:c>
    </x:row>
    <x:row r="2" ht="32.79999923706055" hidden="0" customHeight="1">
      <x:c r="A2" s="17" t="s">
        <x:v>135</x:v>
      </x:c>
      <x:c r="B2" s="17"/>
      <x:c r="C2" s="17"/>
      <x:c r="D2" s="17"/>
      <x:c r="E2" s="17"/>
      <x:c r="F2" s="17"/>
    </x:row>
    <x:row r="3" ht="17.149999618530273" hidden="0" customHeight="1">
      <x:c r="A3" s="18" t="s">
        <x:v>136</x:v>
      </x:c>
      <x:c r="B3" s="18"/>
      <x:c r="C3" s="18"/>
      <x:c r="D3" s="18"/>
      <x:c r="E3" s="18"/>
      <x:c r="F3" s="18"/>
    </x:row>
    <x:row r="4" ht="15" hidden="0">
      <x:c r="A4" s="7" t="s">
        <x:v>137</x:v>
      </x:c>
      <x:c r="B4" s="7" t="s">
        <x:v>138</x:v>
      </x:c>
      <x:c r="C4" s="7" t="s">
        <x:v>139</x:v>
      </x:c>
      <x:c r="D4" s="7" t="s">
        <x:v>140</x:v>
      </x:c>
      <x:c r="E4" s="7" t="s">
        <x:v>141</x:v>
      </x:c>
    </x:row>
    <x:row r="5" ht="32.79999923706055" hidden="0">
      <x:c r="A5" s="11" t="s">
        <x:v>142</x:v>
      </x:c>
      <x:c r="B5" s="19" t="n">
        <x:v>5</x:v>
      </x:c>
      <x:c r="C5" s="10" t="s">
        <x:v>127</x:v>
      </x:c>
      <x:c r="D5" s="20" t="n">
        <x:v>0.3</x:v>
      </x:c>
      <x:c r="E5" s="11" t="s">
        <x:v>143</x:v>
      </x:c>
    </x:row>
    <x:row r="6" ht="17.149999618530273" hidden="0">
      <x:c r="A6" s="11" t="s">
        <x:v>144</x:v>
      </x:c>
      <x:c r="B6" s="19" t="n">
        <x:v>10</x:v>
      </x:c>
      <x:c r="C6" s="10" t="s">
        <x:v>129</x:v>
      </x:c>
      <x:c r="D6" s="20" t="n">
        <x:v>0.15</x:v>
      </x:c>
      <x:c r="E6" s="11" t="s">
        <x:v>145</x:v>
      </x:c>
    </x:row>
    <x:row r="7" ht="17.149999618530273" hidden="0">
      <x:c r="A7" s="11" t="s">
        <x:v>146</x:v>
      </x:c>
      <x:c r="B7" s="19" t="n">
        <x:v>15</x:v>
      </x:c>
      <x:c r="C7" s="10" t="s">
        <x:v>131</x:v>
      </x:c>
      <x:c r="D7" s="20" t="n">
        <x:v>0.05</x:v>
      </x:c>
      <x:c r="E7" s="11" t="s">
        <x:v>147</x:v>
      </x:c>
    </x:row>
    <x:row r="9" ht="17.149999618530273" hidden="0" customHeight="1">
      <x:c r="A9" s="18" t="s">
        <x:v>148</x:v>
      </x:c>
      <x:c r="B9" s="18"/>
      <x:c r="C9" s="18"/>
      <x:c r="D9" s="18"/>
      <x:c r="E9" s="18"/>
    </x:row>
    <x:row r="10" ht="17.149999618530273" hidden="0">
      <x:c r="A10" s="7" t="s">
        <x:v>149</x:v>
      </x:c>
      <x:c r="B10" s="7" t="s">
        <x:v>150</x:v>
      </x:c>
      <x:c r="C10" s="7" t="s">
        <x:v>151</x:v>
      </x:c>
      <x:c r="D10" s="7" t="s">
        <x:v>152</x:v>
      </x:c>
      <x:c r="E10" s="7" t="s">
        <x:v>153</x:v>
      </x:c>
    </x:row>
    <x:row r="11" ht="17.149999618530273" hidden="0">
      <x:c r="A11" s="9" t="n">
        <x:v>8001</x:v>
      </x:c>
      <x:c r="B11" s="21" t="s">
        <x:v>154</x:v>
      </x:c>
      <x:c r="C11" s="11" t="s">
        <x:v>142</x:v>
      </x:c>
      <x:c r="D11" s="22" t="n">
        <x:v>0.1</x:v>
      </x:c>
      <x:c r="E11" s="11" t="s">
        <x:v>155</x:v>
      </x:c>
    </x:row>
    <x:row r="12" ht="17.149999618530273" hidden="0">
      <x:c r="A12" s="9" t="n">
        <x:v>8002</x:v>
      </x:c>
      <x:c r="B12" s="21" t="s">
        <x:v>156</x:v>
      </x:c>
      <x:c r="C12" s="11" t="s">
        <x:v>144</x:v>
      </x:c>
      <x:c r="D12" s="22" t="n">
        <x:v>0.1</x:v>
      </x:c>
      <x:c r="E12" s="11"/>
    </x:row>
    <x:row r="13" ht="17.149999618530273" hidden="0">
      <x:c r="A13" s="9" t="n">
        <x:v>8003</x:v>
      </x:c>
      <x:c r="B13" s="21" t="s">
        <x:v>157</x:v>
      </x:c>
      <x:c r="C13" s="11" t="s">
        <x:v>144</x:v>
      </x:c>
      <x:c r="D13" s="22" t="n">
        <x:v>0.05</x:v>
      </x:c>
      <x:c r="E13" s="11" t="s">
        <x:v>158</x:v>
      </x:c>
    </x:row>
    <x:row r="14" ht="17.149999618530273" hidden="0">
      <x:c r="A14" s="9" t="n">
        <x:v>8004</x:v>
      </x:c>
      <x:c r="B14" s="21" t="s">
        <x:v>159</x:v>
      </x:c>
      <x:c r="C14" s="11" t="s">
        <x:v>146</x:v>
      </x:c>
      <x:c r="D14" s="22" t="n">
        <x:v>0.05</x:v>
      </x:c>
      <x:c r="E14" s="11"/>
    </x:row>
    <x:row r="15" ht="17.149999618530273" hidden="0">
      <x:c r="A15" s="9" t="n">
        <x:v>8005</x:v>
      </x:c>
      <x:c r="B15" s="21" t="s">
        <x:v>160</x:v>
      </x:c>
      <x:c r="C15" s="11" t="s">
        <x:v>146</x:v>
      </x:c>
      <x:c r="D15" s="22" t="n">
        <x:v>0.025</x:v>
      </x:c>
      <x:c r="E15" s="11" t="s">
        <x:v>161</x:v>
      </x:c>
    </x:row>
  </x:sheetData>
  <x:mergeCells>
    <x:mergeCell ref="A2:F2"/>
    <x:mergeCell ref="A3:F3"/>
    <x:mergeCell ref="A9:E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2" width="10" hidden="0" customWidth="1"/>
    <x:col min="3" max="3" width="14" hidden="0" customWidth="1"/>
    <x:col min="4" max="4" width="12" hidden="0" customWidth="1"/>
    <x:col min="5" max="5" width="11" hidden="0" customWidth="1"/>
    <x:col min="6" max="7" width="13" hidden="0" customWidth="1"/>
    <x:col min="8" max="8" width="10" hidden="0" customWidth="1"/>
    <x:col min="9" max="9" width="16" hidden="0" customWidth="1"/>
    <x:col min="10" max="10" width="20" hidden="0" customWidth="1"/>
  </x:cols>
  <x:sheetData>
    <x:row r="1" ht="21.600000381469727" hidden="0">
      <x:c r="A1" s="1" t="s">
        <x:v>162</x:v>
      </x:c>
    </x:row>
    <x:row r="2" ht="32.79999923706055" hidden="0" customHeight="1">
      <x:c r="A2" s="17" t="s">
        <x:v>163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4" ht="17.149999618530273" hidden="0">
      <x:c r="A4" s="7" t="s">
        <x:v>114</x:v>
      </x:c>
      <x:c r="B4" s="7" t="s">
        <x:v>164</x:v>
      </x:c>
      <x:c r="C4" s="7" t="s">
        <x:v>165</x:v>
      </x:c>
      <x:c r="D4" s="7" t="s">
        <x:v>166</x:v>
      </x:c>
      <x:c r="E4" s="7" t="s">
        <x:v>167</x:v>
      </x:c>
      <x:c r="F4" s="7" t="s">
        <x:v>168</x:v>
      </x:c>
      <x:c r="G4" s="7" t="s">
        <x:v>169</x:v>
      </x:c>
      <x:c r="H4" s="7" t="s">
        <x:v>170</x:v>
      </x:c>
      <x:c r="I4" s="7" t="s">
        <x:v>171</x:v>
      </x:c>
      <x:c r="J4" s="7" t="s">
        <x:v>153</x:v>
      </x:c>
    </x:row>
    <x:row r="5" ht="17.149999618530273" hidden="0">
      <x:c r="A5" s="11" t="s">
        <x:v>123</x:v>
      </x:c>
      <x:c r="B5" s="9" t="n">
        <x:v>1</x:v>
      </x:c>
      <x:c r="C5" s="14" t="n">
        <x:v>15</x:v>
      </x:c>
      <x:c r="D5" s="15" t="n">
        <x:f aca="0">C5</x:f>
        <x:v>15</x:v>
      </x:c>
      <x:c r="E5" s="23" t="n">
        <x:v>0.15</x:v>
      </x:c>
      <x:c r="F5" s="23" t="n">
        <x:v>0</x:v>
      </x:c>
      <x:c r="G5" s="23" t="n">
        <x:v>0</x:v>
      </x:c>
      <x:c r="H5" s="23" t="n">
        <x:v>0.2</x:v>
      </x:c>
      <x:c r="I5" s="19" t="s">
        <x:v>81</x:v>
      </x:c>
      <x:c r="J5" s="11" t="s">
        <x:v>172</x:v>
      </x:c>
    </x:row>
    <x:row r="6" ht="17.149999618530273" hidden="0">
      <x:c r="A6" s="11" t="s">
        <x:v>127</x:v>
      </x:c>
      <x:c r="B6" s="9" t="n">
        <x:v>2</x:v>
      </x:c>
      <x:c r="C6" s="14" t="n">
        <x:v>30</x:v>
      </x:c>
      <x:c r="D6" s="15" t="n">
        <x:f aca="0">D5+C6</x:f>
        <x:v>45</x:v>
      </x:c>
      <x:c r="E6" s="23" t="n">
        <x:v>0.25</x:v>
      </x:c>
      <x:c r="F6" s="23" t="n">
        <x:v>0.1</x:v>
      </x:c>
      <x:c r="G6" s="23" t="n">
        <x:v>0</x:v>
      </x:c>
      <x:c r="H6" s="23" t="n">
        <x:v>0.4</x:v>
      </x:c>
      <x:c r="I6" s="19" t="n">
        <x:v>4</x:v>
      </x:c>
      <x:c r="J6" s="11"/>
    </x:row>
    <x:row r="7" ht="17.149999618530273" hidden="0">
      <x:c r="A7" s="11" t="s">
        <x:v>129</x:v>
      </x:c>
      <x:c r="B7" s="9" t="n">
        <x:v>3</x:v>
      </x:c>
      <x:c r="C7" s="14" t="n">
        <x:v>60</x:v>
      </x:c>
      <x:c r="D7" s="15" t="n">
        <x:f aca="0">D6+C7</x:f>
        <x:v>105</x:v>
      </x:c>
      <x:c r="E7" s="23" t="n">
        <x:v>0.5</x:v>
      </x:c>
      <x:c r="F7" s="23" t="n">
        <x:v>0.3</x:v>
      </x:c>
      <x:c r="G7" s="23" t="n">
        <x:v>0.1</x:v>
      </x:c>
      <x:c r="H7" s="23" t="n">
        <x:v>0.6</x:v>
      </x:c>
      <x:c r="I7" s="19" t="n">
        <x:v>3</x:v>
      </x:c>
      <x:c r="J7" s="11"/>
    </x:row>
    <x:row r="8" ht="17.149999618530273" hidden="0">
      <x:c r="A8" s="11" t="s">
        <x:v>131</x:v>
      </x:c>
      <x:c r="B8" s="9" t="n">
        <x:v>4</x:v>
      </x:c>
      <x:c r="C8" s="14" t="n">
        <x:v>180</x:v>
      </x:c>
      <x:c r="D8" s="15" t="n">
        <x:f aca="0">D7+C8</x:f>
        <x:v>285</x:v>
      </x:c>
      <x:c r="E8" s="23" t="n">
        <x:v>0.7</x:v>
      </x:c>
      <x:c r="F8" s="23" t="n">
        <x:v>0.5</x:v>
      </x:c>
      <x:c r="G8" s="23" t="n">
        <x:v>0.4</x:v>
      </x:c>
      <x:c r="H8" s="23" t="n">
        <x:v>0.8</x:v>
      </x:c>
      <x:c r="I8" s="19" t="n">
        <x:v>2</x:v>
      </x:c>
      <x:c r="J8" s="11" t="s">
        <x:v>173</x:v>
      </x:c>
    </x:row>
  </x:sheetData>
  <x:mergeCells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9" hidden="0" customWidth="1"/>
    <x:col min="2" max="2" width="16" hidden="0" customWidth="1"/>
    <x:col min="3" max="3" width="8" hidden="0" customWidth="1"/>
    <x:col min="4" max="4" width="12" hidden="0" customWidth="1"/>
    <x:col min="5" max="5" width="10" hidden="0" customWidth="1"/>
    <x:col min="6" max="6" width="9" hidden="0" customWidth="1"/>
    <x:col min="7" max="8" width="8" hidden="0" customWidth="1"/>
    <x:col min="9" max="9" width="42" hidden="0" customWidth="1"/>
    <x:col min="10" max="10" width="12" hidden="0" customWidth="1"/>
  </x:cols>
  <x:sheetData>
    <x:row r="1" ht="17.350000381469727" hidden="0">
      <x:c r="A1" s="1" t="s">
        <x:v>174</x:v>
      </x:c>
    </x:row>
    <x:row r="3" ht="17.149999618530273" hidden="0">
      <x:c r="A3" s="24" t="s">
        <x:v>175</x:v>
      </x:c>
      <x:c r="B3" s="7" t="s">
        <x:v>150</x:v>
      </x:c>
      <x:c r="C3" s="7" t="s">
        <x:v>176</x:v>
      </x:c>
      <x:c r="D3" s="7" t="s">
        <x:v>177</x:v>
      </x:c>
      <x:c r="E3" s="7" t="s">
        <x:v>178</x:v>
      </x:c>
      <x:c r="F3" s="7" t="s">
        <x:v>179</x:v>
      </x:c>
      <x:c r="G3" s="7" t="s">
        <x:v>180</x:v>
      </x:c>
      <x:c r="H3" s="7" t="s">
        <x:v>181</x:v>
      </x:c>
      <x:c r="I3" s="7" t="s">
        <x:v>54</x:v>
      </x:c>
      <x:c r="J3" s="7" t="s">
        <x:v>182</x:v>
      </x:c>
    </x:row>
    <x:row r="4" ht="17.149999618530273" hidden="0">
      <x:c r="A4" s="9" t="n">
        <x:v>1001</x:v>
      </x:c>
      <x:c r="B4" s="25" t="s">
        <x:v>183</x:v>
      </x:c>
      <x:c r="C4" s="26" t="s">
        <x:v>184</x:v>
      </x:c>
      <x:c r="D4" s="26" t="s">
        <x:v>185</x:v>
      </x:c>
      <x:c r="E4" s="27" t="n">
        <x:v>20</x:v>
      </x:c>
      <x:c r="F4" s="19" t="n">
        <x:v>99</x:v>
      </x:c>
      <x:c r="G4" s="26" t="s">
        <x:v>126</x:v>
      </x:c>
      <x:c r="H4" s="26" t="s">
        <x:v>186</x:v>
      </x:c>
      <x:c r="I4" s="11" t="s">
        <x:v>187</x:v>
      </x:c>
      <x:c r="J4" s="19"/>
    </x:row>
    <x:row r="5" ht="17.149999618530273" hidden="0">
      <x:c r="A5" s="9" t="n">
        <x:v>1002</x:v>
      </x:c>
      <x:c r="B5" s="25" t="s">
        <x:v>188</x:v>
      </x:c>
      <x:c r="C5" s="26" t="s">
        <x:v>184</x:v>
      </x:c>
      <x:c r="D5" s="26" t="s">
        <x:v>189</x:v>
      </x:c>
      <x:c r="E5" s="27" t="n">
        <x:v>20</x:v>
      </x:c>
      <x:c r="F5" s="19" t="n">
        <x:v>99</x:v>
      </x:c>
      <x:c r="G5" s="26" t="s">
        <x:v>126</x:v>
      </x:c>
      <x:c r="H5" s="26" t="s">
        <x:v>186</x:v>
      </x:c>
      <x:c r="I5" s="11" t="s">
        <x:v>190</x:v>
      </x:c>
      <x:c r="J5" s="19"/>
    </x:row>
    <x:row r="6" ht="17.149999618530273" hidden="0">
      <x:c r="A6" s="9" t="n">
        <x:v>1003</x:v>
      </x:c>
      <x:c r="B6" s="25" t="s">
        <x:v>191</x:v>
      </x:c>
      <x:c r="C6" s="26" t="s">
        <x:v>184</x:v>
      </x:c>
      <x:c r="D6" s="26" t="s">
        <x:v>185</x:v>
      </x:c>
      <x:c r="E6" s="27" t="n">
        <x:v>120</x:v>
      </x:c>
      <x:c r="F6" s="19" t="n">
        <x:v>50</x:v>
      </x:c>
      <x:c r="G6" s="26" t="s">
        <x:v>126</x:v>
      </x:c>
      <x:c r="H6" s="26" t="s">
        <x:v>192</x:v>
      </x:c>
      <x:c r="I6" s="11" t="s">
        <x:v>193</x:v>
      </x:c>
      <x:c r="J6" s="19"/>
    </x:row>
    <x:row r="7" ht="17.149999618530273" hidden="0">
      <x:c r="A7" s="9" t="n">
        <x:v>1004</x:v>
      </x:c>
      <x:c r="B7" s="25" t="s">
        <x:v>194</x:v>
      </x:c>
      <x:c r="C7" s="26" t="s">
        <x:v>184</x:v>
      </x:c>
      <x:c r="D7" s="26" t="s">
        <x:v>189</x:v>
      </x:c>
      <x:c r="E7" s="27" t="n">
        <x:v>120</x:v>
      </x:c>
      <x:c r="F7" s="19" t="n">
        <x:v>50</x:v>
      </x:c>
      <x:c r="G7" s="26" t="s">
        <x:v>126</x:v>
      </x:c>
      <x:c r="H7" s="26" t="s">
        <x:v>192</x:v>
      </x:c>
      <x:c r="I7" s="11" t="s">
        <x:v>195</x:v>
      </x:c>
      <x:c r="J7" s="19"/>
    </x:row>
    <x:row r="8" ht="17.149999618530273" hidden="0">
      <x:c r="A8" s="9" t="n">
        <x:v>1005</x:v>
      </x:c>
      <x:c r="B8" s="25" t="s">
        <x:v>196</x:v>
      </x:c>
      <x:c r="C8" s="26" t="s">
        <x:v>184</x:v>
      </x:c>
      <x:c r="D8" s="26" t="s">
        <x:v>197</x:v>
      </x:c>
      <x:c r="E8" s="27" t="n">
        <x:v>0</x:v>
      </x:c>
      <x:c r="F8" s="19" t="n">
        <x:v>30</x:v>
      </x:c>
      <x:c r="G8" s="26" t="s">
        <x:v>126</x:v>
      </x:c>
      <x:c r="H8" s="26" t="s">
        <x:v>186</x:v>
      </x:c>
      <x:c r="I8" s="11" t="s">
        <x:v>198</x:v>
      </x:c>
      <x:c r="J8" s="19"/>
    </x:row>
    <x:row r="9" ht="17.149999618530273" hidden="0">
      <x:c r="A9" s="9" t="n">
        <x:v>2001</x:v>
      </x:c>
      <x:c r="B9" s="25" t="s">
        <x:v>199</x:v>
      </x:c>
      <x:c r="C9" s="26" t="s">
        <x:v>200</x:v>
      </x:c>
      <x:c r="D9" s="26" t="s">
        <x:v>119</x:v>
      </x:c>
      <x:c r="E9" s="27" t="n">
        <x:v>150</x:v>
      </x:c>
      <x:c r="F9" s="19" t="n">
        <x:v>1</x:v>
      </x:c>
      <x:c r="G9" s="26" t="s">
        <x:v>126</x:v>
      </x:c>
      <x:c r="H9" s="26" t="s">
        <x:v>192</x:v>
      </x:c>
      <x:c r="I9" s="11" t="s">
        <x:v>201</x:v>
      </x:c>
      <x:c r="J9" s="26" t="s">
        <x:v>199</x:v>
      </x:c>
    </x:row>
    <x:row r="10" ht="17.149999618530273" hidden="0">
      <x:c r="A10" s="9" t="n">
        <x:v>2002</x:v>
      </x:c>
      <x:c r="B10" s="25" t="s">
        <x:v>202</x:v>
      </x:c>
      <x:c r="C10" s="26" t="s">
        <x:v>200</x:v>
      </x:c>
      <x:c r="D10" s="26" t="s">
        <x:v>119</x:v>
      </x:c>
      <x:c r="E10" s="27" t="n">
        <x:v>150</x:v>
      </x:c>
      <x:c r="F10" s="19" t="n">
        <x:v>1</x:v>
      </x:c>
      <x:c r="G10" s="26" t="s">
        <x:v>126</x:v>
      </x:c>
      <x:c r="H10" s="26" t="s">
        <x:v>192</x:v>
      </x:c>
      <x:c r="I10" s="11" t="s">
        <x:v>203</x:v>
      </x:c>
      <x:c r="J10" s="26" t="s">
        <x:v>202</x:v>
      </x:c>
    </x:row>
    <x:row r="11" ht="17.149999618530273" hidden="0">
      <x:c r="A11" s="9" t="n">
        <x:v>2004</x:v>
      </x:c>
      <x:c r="B11" s="25" t="s">
        <x:v>204</x:v>
      </x:c>
      <x:c r="C11" s="26" t="s">
        <x:v>200</x:v>
      </x:c>
      <x:c r="D11" s="26" t="s">
        <x:v>205</x:v>
      </x:c>
      <x:c r="E11" s="27" t="n">
        <x:v>1</x:v>
      </x:c>
      <x:c r="F11" s="19" t="n">
        <x:v>5</x:v>
      </x:c>
      <x:c r="G11" s="26" t="s">
        <x:v>124</x:v>
      </x:c>
      <x:c r="H11" s="26" t="s">
        <x:v>186</x:v>
      </x:c>
      <x:c r="I11" s="11" t="s">
        <x:v>206</x:v>
      </x:c>
      <x:c r="J11" s="19"/>
    </x:row>
    <x:row r="12" ht="17.149999618530273" hidden="0">
      <x:c r="A12" s="9" t="n">
        <x:v>3001</x:v>
      </x:c>
      <x:c r="B12" s="25" t="s">
        <x:v>207</x:v>
      </x:c>
      <x:c r="C12" s="26" t="s">
        <x:v>208</x:v>
      </x:c>
      <x:c r="D12" s="26" t="s">
        <x:v>120</x:v>
      </x:c>
      <x:c r="E12" s="27" t="n">
        <x:v>30</x:v>
      </x:c>
      <x:c r="F12" s="19" t="n">
        <x:v>1</x:v>
      </x:c>
      <x:c r="G12" s="26" t="s">
        <x:v>124</x:v>
      </x:c>
      <x:c r="H12" s="26" t="s">
        <x:v>186</x:v>
      </x:c>
      <x:c r="I12" s="11" t="s">
        <x:v>209</x:v>
      </x:c>
      <x:c r="J12" s="26" t="s">
        <x:v>210</x:v>
      </x:c>
    </x:row>
    <x:row r="13" ht="17.149999618530273" hidden="0">
      <x:c r="A13" s="9" t="n">
        <x:v>3002</x:v>
      </x:c>
      <x:c r="B13" s="25" t="s">
        <x:v>211</x:v>
      </x:c>
      <x:c r="C13" s="26" t="s">
        <x:v>208</x:v>
      </x:c>
      <x:c r="D13" s="26" t="s">
        <x:v>120</x:v>
      </x:c>
      <x:c r="E13" s="27" t="n">
        <x:v>90</x:v>
      </x:c>
      <x:c r="F13" s="19" t="n">
        <x:v>1</x:v>
      </x:c>
      <x:c r="G13" s="26" t="s">
        <x:v>126</x:v>
      </x:c>
      <x:c r="H13" s="26" t="s">
        <x:v>192</x:v>
      </x:c>
      <x:c r="I13" s="11" t="s">
        <x:v>212</x:v>
      </x:c>
      <x:c r="J13" s="26" t="s">
        <x:v>213</x:v>
      </x:c>
    </x:row>
    <x:row r="14" ht="17.149999618530273" hidden="0">
      <x:c r="A14" s="9" t="n">
        <x:v>4001</x:v>
      </x:c>
      <x:c r="B14" s="25" t="s">
        <x:v>214</x:v>
      </x:c>
      <x:c r="C14" s="26" t="s">
        <x:v>215</x:v>
      </x:c>
      <x:c r="D14" s="26" t="s">
        <x:v>216</x:v>
      </x:c>
      <x:c r="E14" s="27" t="n">
        <x:v>0</x:v>
      </x:c>
      <x:c r="F14" s="19" t="n">
        <x:v>999</x:v>
      </x:c>
      <x:c r="G14" s="19" t="s">
        <x:v>81</x:v>
      </x:c>
      <x:c r="H14" s="26" t="s">
        <x:v>186</x:v>
      </x:c>
      <x:c r="I14" s="11" t="s">
        <x:v>217</x:v>
      </x:c>
      <x:c r="J14" s="19"/>
    </x:row>
    <x:row r="15" ht="17.149999618530273" hidden="0">
      <x:c r="A15" s="9" t="n">
        <x:v>4002</x:v>
      </x:c>
      <x:c r="B15" s="25" t="s">
        <x:v>218</x:v>
      </x:c>
      <x:c r="C15" s="26" t="s">
        <x:v>215</x:v>
      </x:c>
      <x:c r="D15" s="26" t="s">
        <x:v>216</x:v>
      </x:c>
      <x:c r="E15" s="27" t="n">
        <x:v>0</x:v>
      </x:c>
      <x:c r="F15" s="19" t="n">
        <x:v>999</x:v>
      </x:c>
      <x:c r="G15" s="19" t="s">
        <x:v>81</x:v>
      </x:c>
      <x:c r="H15" s="26" t="s">
        <x:v>186</x:v>
      </x:c>
      <x:c r="I15" s="11" t="s">
        <x:v>219</x:v>
      </x:c>
      <x:c r="J15" s="19"/>
    </x:row>
    <x:row r="16" ht="17.149999618530273" hidden="0">
      <x:c r="A16" s="9" t="n">
        <x:v>4003</x:v>
      </x:c>
      <x:c r="B16" s="25" t="s">
        <x:v>220</x:v>
      </x:c>
      <x:c r="C16" s="26" t="s">
        <x:v>215</x:v>
      </x:c>
      <x:c r="D16" s="26" t="s">
        <x:v>216</x:v>
      </x:c>
      <x:c r="E16" s="27" t="n">
        <x:v>0</x:v>
      </x:c>
      <x:c r="F16" s="19" t="n">
        <x:v>999</x:v>
      </x:c>
      <x:c r="G16" s="19" t="s">
        <x:v>81</x:v>
      </x:c>
      <x:c r="H16" s="26" t="s">
        <x:v>192</x:v>
      </x:c>
      <x:c r="I16" s="11" t="s">
        <x:v>221</x:v>
      </x:c>
      <x:c r="J16" s="19"/>
    </x:row>
    <x:row r="17" ht="17.149999618530273" hidden="0">
      <x:c r="A17" s="9" t="n">
        <x:v>4004</x:v>
      </x:c>
      <x:c r="B17" s="25" t="s">
        <x:v>222</x:v>
      </x:c>
      <x:c r="C17" s="26" t="s">
        <x:v>215</x:v>
      </x:c>
      <x:c r="D17" s="26" t="s">
        <x:v>216</x:v>
      </x:c>
      <x:c r="E17" s="27" t="n">
        <x:v>0</x:v>
      </x:c>
      <x:c r="F17" s="19" t="n">
        <x:v>999</x:v>
      </x:c>
      <x:c r="G17" s="19" t="s">
        <x:v>81</x:v>
      </x:c>
      <x:c r="H17" s="26" t="s">
        <x:v>192</x:v>
      </x:c>
      <x:c r="I17" s="11" t="s">
        <x:v>223</x:v>
      </x:c>
      <x:c r="J17" s="19"/>
    </x:row>
    <x:row r="18" ht="17.149999618530273" hidden="0">
      <x:c r="A18" s="9" t="n">
        <x:v>5001</x:v>
      </x:c>
      <x:c r="B18" s="25" t="s">
        <x:v>224</x:v>
      </x:c>
      <x:c r="C18" s="26" t="s">
        <x:v>225</x:v>
      </x:c>
      <x:c r="D18" s="26" t="s">
        <x:v>226</x:v>
      </x:c>
      <x:c r="E18" s="27" t="n">
        <x:v>180</x:v>
      </x:c>
      <x:c r="F18" s="19" t="n">
        <x:v>3</x:v>
      </x:c>
      <x:c r="G18" s="26" t="s">
        <x:v>124</x:v>
      </x:c>
      <x:c r="H18" s="26" t="s">
        <x:v>227</x:v>
      </x:c>
      <x:c r="I18" s="11" t="s">
        <x:v>228</x:v>
      </x:c>
      <x:c r="J18" s="19"/>
    </x:row>
    <x:row r="19" ht="17.149999618530273" hidden="0">
      <x:c r="A19" s="9" t="n">
        <x:v>5002</x:v>
      </x:c>
      <x:c r="B19" s="25" t="s">
        <x:v>229</x:v>
      </x:c>
      <x:c r="C19" s="26" t="s">
        <x:v>230</x:v>
      </x:c>
      <x:c r="D19" s="26" t="s">
        <x:v>226</x:v>
      </x:c>
      <x:c r="E19" s="27" t="n">
        <x:v>60</x:v>
      </x:c>
      <x:c r="F19" s="19" t="n">
        <x:v>10</x:v>
      </x:c>
      <x:c r="G19" s="26" t="s">
        <x:v>126</x:v>
      </x:c>
      <x:c r="H19" s="26" t="s">
        <x:v>192</x:v>
      </x:c>
      <x:c r="I19" s="11" t="s">
        <x:v>231</x:v>
      </x:c>
      <x:c r="J19" s="19"/>
    </x:row>
    <x:row r="20" ht="17.149999618530273" hidden="0">
      <x:c r="A20" s="9" t="n">
        <x:v>5003</x:v>
      </x:c>
      <x:c r="B20" s="25" t="s">
        <x:v>232</x:v>
      </x:c>
      <x:c r="C20" s="26" t="s">
        <x:v>225</x:v>
      </x:c>
      <x:c r="D20" s="26" t="s">
        <x:v>233</x:v>
      </x:c>
      <x:c r="E20" s="27" t="n">
        <x:v>0</x:v>
      </x:c>
      <x:c r="F20" s="19" t="n">
        <x:v>1</x:v>
      </x:c>
      <x:c r="G20" s="26" t="s">
        <x:v>124</x:v>
      </x:c>
      <x:c r="H20" s="26" t="s">
        <x:v>234</x:v>
      </x:c>
      <x:c r="I20" s="11" t="s">
        <x:v>235</x:v>
      </x:c>
      <x:c r="J20" s="19"/>
    </x:row>
    <x:row r="21" ht="17.149999618530273" hidden="0">
      <x:c r="A21" s="9" t="n">
        <x:v>6001</x:v>
      </x:c>
      <x:c r="B21" s="25" t="s">
        <x:v>236</x:v>
      </x:c>
      <x:c r="C21" s="26" t="s">
        <x:v>230</x:v>
      </x:c>
      <x:c r="D21" s="26" t="s">
        <x:v>205</x:v>
      </x:c>
      <x:c r="E21" s="27" t="n">
        <x:v>150</x:v>
      </x:c>
      <x:c r="F21" s="19" t="n">
        <x:v>20</x:v>
      </x:c>
      <x:c r="G21" s="26" t="s">
        <x:v>126</x:v>
      </x:c>
      <x:c r="H21" s="26" t="s">
        <x:v>192</x:v>
      </x:c>
      <x:c r="I21" s="11" t="s">
        <x:v>237</x:v>
      </x:c>
      <x:c r="J21" s="19"/>
    </x:row>
    <x:row r="22" ht="17.149999618530273" hidden="0">
      <x:c r="A22" s="9" t="n">
        <x:v>6002</x:v>
      </x:c>
      <x:c r="B22" s="25" t="s">
        <x:v>238</x:v>
      </x:c>
      <x:c r="C22" s="26" t="s">
        <x:v>230</x:v>
      </x:c>
      <x:c r="D22" s="26" t="s">
        <x:v>239</x:v>
      </x:c>
      <x:c r="E22" s="27" t="n">
        <x:v>0</x:v>
      </x:c>
      <x:c r="F22" s="19" t="n">
        <x:v>10</x:v>
      </x:c>
      <x:c r="G22" s="26" t="s">
        <x:v>126</x:v>
      </x:c>
      <x:c r="H22" s="26" t="s">
        <x:v>192</x:v>
      </x:c>
      <x:c r="I22" s="11" t="s">
        <x:v>240</x:v>
      </x:c>
      <x:c r="J22" s="19"/>
    </x:row>
    <x:row r="23" ht="17.149999618530273" hidden="0">
      <x:c r="A23" s="9" t="n">
        <x:v>7001</x:v>
      </x:c>
      <x:c r="B23" s="25" t="s">
        <x:v>241</x:v>
      </x:c>
      <x:c r="C23" s="26" t="s">
        <x:v>242</x:v>
      </x:c>
      <x:c r="D23" s="26" t="s">
        <x:v>243</x:v>
      </x:c>
      <x:c r="E23" s="27" t="n">
        <x:v>1</x:v>
      </x:c>
      <x:c r="F23" s="19" t="n">
        <x:v>1</x:v>
      </x:c>
      <x:c r="G23" s="26" t="s">
        <x:v>124</x:v>
      </x:c>
      <x:c r="H23" s="26" t="s">
        <x:v>192</x:v>
      </x:c>
      <x:c r="I23" s="11" t="s">
        <x:v>244</x:v>
      </x:c>
      <x:c r="J23" s="19"/>
    </x:row>
    <x:row r="24" ht="17.149999618530273" hidden="0">
      <x:c r="A24" s="9" t="n">
        <x:v>7002</x:v>
      </x:c>
      <x:c r="B24" s="25" t="s">
        <x:v>245</x:v>
      </x:c>
      <x:c r="C24" s="26" t="s">
        <x:v>242</x:v>
      </x:c>
      <x:c r="D24" s="26" t="s">
        <x:v>243</x:v>
      </x:c>
      <x:c r="E24" s="27" t="n">
        <x:v>2</x:v>
      </x:c>
      <x:c r="F24" s="19" t="n">
        <x:v>1</x:v>
      </x:c>
      <x:c r="G24" s="26" t="s">
        <x:v>124</x:v>
      </x:c>
      <x:c r="H24" s="26" t="s">
        <x:v>192</x:v>
      </x:c>
      <x:c r="I24" s="11" t="s">
        <x:v>246</x:v>
      </x:c>
      <x:c r="J24" s="19"/>
    </x:row>
    <x:row r="25" ht="17.149999618530273" hidden="0">
      <x:c r="A25" s="9" t="n">
        <x:v>7003</x:v>
      </x:c>
      <x:c r="B25" s="25" t="s">
        <x:v>247</x:v>
      </x:c>
      <x:c r="C25" s="26" t="s">
        <x:v>242</x:v>
      </x:c>
      <x:c r="D25" s="26" t="s">
        <x:v>243</x:v>
      </x:c>
      <x:c r="E25" s="27" t="n">
        <x:v>3</x:v>
      </x:c>
      <x:c r="F25" s="19" t="n">
        <x:v>1</x:v>
      </x:c>
      <x:c r="G25" s="26" t="s">
        <x:v>124</x:v>
      </x:c>
      <x:c r="H25" s="26" t="s">
        <x:v>227</x:v>
      </x:c>
      <x:c r="I25" s="11" t="s">
        <x:v>248</x:v>
      </x:c>
      <x:c r="J25" s="19"/>
    </x:row>
    <x:row r="26" ht="17.149999618530273" hidden="0">
      <x:c r="A26" s="9" t="n">
        <x:v>8001</x:v>
      </x:c>
      <x:c r="B26" s="25" t="s">
        <x:v>154</x:v>
      </x:c>
      <x:c r="C26" s="26" t="s">
        <x:v>184</x:v>
      </x:c>
      <x:c r="D26" s="26" t="s">
        <x:v>249</x:v>
      </x:c>
      <x:c r="E26" s="27" t="n">
        <x:v>10</x:v>
      </x:c>
      <x:c r="F26" s="19" t="n">
        <x:v>10</x:v>
      </x:c>
      <x:c r="G26" s="26" t="s">
        <x:v>124</x:v>
      </x:c>
      <x:c r="H26" s="26" t="s">
        <x:v>227</x:v>
      </x:c>
      <x:c r="I26" s="11" t="s">
        <x:v>250</x:v>
      </x:c>
      <x:c r="J26" s="19"/>
    </x:row>
    <x:row r="27" ht="17.149999618530273" hidden="0">
      <x:c r="A27" s="9" t="n">
        <x:v>8002</x:v>
      </x:c>
      <x:c r="B27" s="25" t="s">
        <x:v>156</x:v>
      </x:c>
      <x:c r="C27" s="26" t="s">
        <x:v>184</x:v>
      </x:c>
      <x:c r="D27" s="26" t="s">
        <x:v>249</x:v>
      </x:c>
      <x:c r="E27" s="27" t="n">
        <x:v>10</x:v>
      </x:c>
      <x:c r="F27" s="19" t="n">
        <x:v>10</x:v>
      </x:c>
      <x:c r="G27" s="26" t="s">
        <x:v>124</x:v>
      </x:c>
      <x:c r="H27" s="26" t="s">
        <x:v>234</x:v>
      </x:c>
      <x:c r="I27" s="11" t="s">
        <x:v>251</x:v>
      </x:c>
      <x:c r="J27" s="19"/>
    </x:row>
    <x:row r="28" ht="17.149999618530273" hidden="0">
      <x:c r="A28" s="9" t="n">
        <x:v>8003</x:v>
      </x:c>
      <x:c r="B28" s="25" t="s">
        <x:v>157</x:v>
      </x:c>
      <x:c r="C28" s="26" t="s">
        <x:v>184</x:v>
      </x:c>
      <x:c r="D28" s="26" t="s">
        <x:v>249</x:v>
      </x:c>
      <x:c r="E28" s="27" t="n">
        <x:v>5</x:v>
      </x:c>
      <x:c r="F28" s="19" t="n">
        <x:v>10</x:v>
      </x:c>
      <x:c r="G28" s="26" t="s">
        <x:v>124</x:v>
      </x:c>
      <x:c r="H28" s="26" t="s">
        <x:v>234</x:v>
      </x:c>
      <x:c r="I28" s="11" t="s">
        <x:v>252</x:v>
      </x:c>
      <x:c r="J28" s="19"/>
    </x:row>
    <x:row r="29" ht="17.149999618530273" hidden="0">
      <x:c r="A29" s="9" t="n">
        <x:v>8004</x:v>
      </x:c>
      <x:c r="B29" s="25" t="s">
        <x:v>159</x:v>
      </x:c>
      <x:c r="C29" s="26" t="s">
        <x:v>184</x:v>
      </x:c>
      <x:c r="D29" s="26" t="s">
        <x:v>249</x:v>
      </x:c>
      <x:c r="E29" s="27" t="n">
        <x:v>5</x:v>
      </x:c>
      <x:c r="F29" s="19" t="n">
        <x:v>10</x:v>
      </x:c>
      <x:c r="G29" s="26" t="s">
        <x:v>124</x:v>
      </x:c>
      <x:c r="H29" s="26" t="s">
        <x:v>253</x:v>
      </x:c>
      <x:c r="I29" s="11" t="s">
        <x:v>254</x:v>
      </x:c>
      <x:c r="J29" s="19"/>
    </x:row>
    <x:row r="30" ht="17.149999618530273" hidden="0">
      <x:c r="A30" s="9" t="n">
        <x:v>8005</x:v>
      </x:c>
      <x:c r="B30" s="25" t="s">
        <x:v>160</x:v>
      </x:c>
      <x:c r="C30" s="26" t="s">
        <x:v>184</x:v>
      </x:c>
      <x:c r="D30" s="26" t="s">
        <x:v>249</x:v>
      </x:c>
      <x:c r="E30" s="27" t="n">
        <x:v>2.5</x:v>
      </x:c>
      <x:c r="F30" s="19" t="n">
        <x:v>10</x:v>
      </x:c>
      <x:c r="G30" s="26" t="s">
        <x:v>124</x:v>
      </x:c>
      <x:c r="H30" s="26" t="s">
        <x:v>255</x:v>
      </x:c>
      <x:c r="I30" s="11" t="s">
        <x:v>256</x:v>
      </x:c>
      <x:c r="J30" s="19"/>
    </x:row>
    <x:row r="31" ht="17.149999618530273" hidden="0">
      <x:c r="A31" s="9" t="n">
        <x:v>8101</x:v>
      </x:c>
      <x:c r="B31" s="25" t="s">
        <x:v>257</x:v>
      </x:c>
      <x:c r="C31" s="26" t="s">
        <x:v>225</x:v>
      </x:c>
      <x:c r="D31" s="26" t="s">
        <x:v>258</x:v>
      </x:c>
      <x:c r="E31" s="27" t="n">
        <x:v>0</x:v>
      </x:c>
      <x:c r="F31" s="19" t="n">
        <x:v>5</x:v>
      </x:c>
      <x:c r="G31" s="26" t="s">
        <x:v>124</x:v>
      </x:c>
      <x:c r="H31" s="26" t="s">
        <x:v>227</x:v>
      </x:c>
      <x:c r="I31" s="11" t="s">
        <x:v>259</x:v>
      </x:c>
      <x:c r="J31" s="19"/>
    </x:row>
    <x:row r="32" ht="17.149999618530273" hidden="0">
      <x:c r="A32" s="9" t="n">
        <x:v>8102</x:v>
      </x:c>
      <x:c r="B32" s="25" t="s">
        <x:v>260</x:v>
      </x:c>
      <x:c r="C32" s="26" t="s">
        <x:v>225</x:v>
      </x:c>
      <x:c r="D32" s="26" t="s">
        <x:v>261</x:v>
      </x:c>
      <x:c r="E32" s="27" t="n">
        <x:v>84</x:v>
      </x:c>
      <x:c r="F32" s="19" t="n">
        <x:v>10</x:v>
      </x:c>
      <x:c r="G32" s="26" t="s">
        <x:v>124</x:v>
      </x:c>
      <x:c r="H32" s="26" t="s">
        <x:v>227</x:v>
      </x:c>
      <x:c r="I32" s="11" t="s">
        <x:v>262</x:v>
      </x:c>
      <x:c r="J32" s="19"/>
    </x:row>
    <x:row r="33" ht="32.79999923706055" hidden="0">
      <x:c r="A33" s="9" t="n">
        <x:v>8201</x:v>
      </x:c>
      <x:c r="B33" s="25" t="s">
        <x:v>263</x:v>
      </x:c>
      <x:c r="C33" s="26" t="s">
        <x:v>225</x:v>
      </x:c>
      <x:c r="D33" s="26" t="s">
        <x:v>264</x:v>
      </x:c>
      <x:c r="E33" s="27" t="n">
        <x:v>0</x:v>
      </x:c>
      <x:c r="F33" s="19" t="n">
        <x:v>1</x:v>
      </x:c>
      <x:c r="G33" s="26" t="s">
        <x:v>124</x:v>
      </x:c>
      <x:c r="H33" s="26" t="s">
        <x:v>234</x:v>
      </x:c>
      <x:c r="I33" s="11" t="s">
        <x:v>265</x:v>
      </x:c>
      <x:c r="J33" s="19"/>
    </x:row>
    <x:row r="34" ht="17.149999618530273" hidden="0">
      <x:c r="A34" s="9" t="n">
        <x:v>3101</x:v>
      </x:c>
      <x:c r="B34" s="25" t="s">
        <x:v>266</x:v>
      </x:c>
      <x:c r="C34" s="26" t="s">
        <x:v>208</x:v>
      </x:c>
      <x:c r="D34" s="26" t="s">
        <x:v>120</x:v>
      </x:c>
      <x:c r="E34" s="27" t="n">
        <x:v>120</x:v>
      </x:c>
      <x:c r="F34" s="19" t="n">
        <x:v>1</x:v>
      </x:c>
      <x:c r="G34" s="26" t="s">
        <x:v>126</x:v>
      </x:c>
      <x:c r="H34" s="26" t="s">
        <x:v>192</x:v>
      </x:c>
      <x:c r="I34" s="11" t="s">
        <x:v>267</x:v>
      </x:c>
      <x:c r="J34" s="26" t="s">
        <x:v>213</x:v>
      </x:c>
    </x:row>
    <x:row r="35" ht="17.149999618530273" hidden="0">
      <x:c r="A35" s="9" t="n">
        <x:v>7101</x:v>
      </x:c>
      <x:c r="B35" s="25" t="s">
        <x:v>268</x:v>
      </x:c>
      <x:c r="C35" s="26" t="s">
        <x:v>269</x:v>
      </x:c>
      <x:c r="D35" s="26" t="s">
        <x:v>216</x:v>
      </x:c>
      <x:c r="E35" s="27" t="n">
        <x:v>0</x:v>
      </x:c>
      <x:c r="F35" s="19" t="n">
        <x:v>20</x:v>
      </x:c>
      <x:c r="G35" s="19" t="s">
        <x:v>81</x:v>
      </x:c>
      <x:c r="H35" s="26" t="s">
        <x:v>192</x:v>
      </x:c>
      <x:c r="I35" s="11" t="s">
        <x:v>270</x:v>
      </x:c>
      <x:c r="J35" s="19"/>
    </x:row>
    <x:row r="36" ht="17.149999618530273" hidden="0">
      <x:c r="A36" s="9" t="n">
        <x:v>7102</x:v>
      </x:c>
      <x:c r="B36" s="25" t="s">
        <x:v>271</x:v>
      </x:c>
      <x:c r="C36" s="26" t="s">
        <x:v>269</x:v>
      </x:c>
      <x:c r="D36" s="26" t="s">
        <x:v>216</x:v>
      </x:c>
      <x:c r="E36" s="27" t="n">
        <x:v>0</x:v>
      </x:c>
      <x:c r="F36" s="19" t="n">
        <x:v>20</x:v>
      </x:c>
      <x:c r="G36" s="19" t="s">
        <x:v>81</x:v>
      </x:c>
      <x:c r="H36" s="26" t="s">
        <x:v>192</x:v>
      </x:c>
      <x:c r="I36" s="11" t="s">
        <x:v>272</x:v>
      </x:c>
      <x:c r="J36" s="19"/>
    </x:row>
    <x:row r="37" ht="17.149999618530273" hidden="0">
      <x:c r="A37" s="9" t="n">
        <x:v>7103</x:v>
      </x:c>
      <x:c r="B37" s="25" t="s">
        <x:v>273</x:v>
      </x:c>
      <x:c r="C37" s="26" t="s">
        <x:v>269</x:v>
      </x:c>
      <x:c r="D37" s="26" t="s">
        <x:v>216</x:v>
      </x:c>
      <x:c r="E37" s="27" t="n">
        <x:v>0</x:v>
      </x:c>
      <x:c r="F37" s="19" t="n">
        <x:v>20</x:v>
      </x:c>
      <x:c r="G37" s="19" t="s">
        <x:v>81</x:v>
      </x:c>
      <x:c r="H37" s="26" t="s">
        <x:v>234</x:v>
      </x:c>
      <x:c r="I37" s="11" t="s">
        <x:v>274</x:v>
      </x:c>
      <x:c r="J37" s="19"/>
    </x:row>
    <x:row r="38" ht="17.149999618530273" hidden="0">
      <x:c r="A38" s="9" t="n">
        <x:v>8501</x:v>
      </x:c>
      <x:c r="B38" s="25" t="s">
        <x:v>275</x:v>
      </x:c>
      <x:c r="C38" s="26" t="s">
        <x:v>276</x:v>
      </x:c>
      <x:c r="D38" s="26" t="s">
        <x:v>277</x:v>
      </x:c>
      <x:c r="E38" s="27" t="n">
        <x:v>1</x:v>
      </x:c>
      <x:c r="F38" s="19" t="n">
        <x:v>50</x:v>
      </x:c>
      <x:c r="G38" s="26" t="s">
        <x:v>126</x:v>
      </x:c>
      <x:c r="H38" s="26" t="s">
        <x:v>192</x:v>
      </x:c>
      <x:c r="I38" s="11" t="s">
        <x:v>278</x:v>
      </x:c>
      <x:c r="J38" s="19"/>
    </x:row>
    <x:row r="39" ht="17.149999618530273" hidden="0">
      <x:c r="A39" s="9" t="n">
        <x:v>8502</x:v>
      </x:c>
      <x:c r="B39" s="25" t="s">
        <x:v>279</x:v>
      </x:c>
      <x:c r="C39" s="26" t="s">
        <x:v>276</x:v>
      </x:c>
      <x:c r="D39" s="26" t="s">
        <x:v>277</x:v>
      </x:c>
      <x:c r="E39" s="27" t="n">
        <x:v>1</x:v>
      </x:c>
      <x:c r="F39" s="19" t="n">
        <x:v>50</x:v>
      </x:c>
      <x:c r="G39" s="26" t="s">
        <x:v>126</x:v>
      </x:c>
      <x:c r="H39" s="26" t="s">
        <x:v>192</x:v>
      </x:c>
      <x:c r="I39" s="11" t="s">
        <x:v>280</x:v>
      </x:c>
      <x:c r="J39" s="19"/>
    </x:row>
    <x:row r="40" ht="17.149999618530273" hidden="0">
      <x:c r="A40" s="9" t="n">
        <x:v>8301</x:v>
      </x:c>
      <x:c r="B40" s="25" t="s">
        <x:v>281</x:v>
      </x:c>
      <x:c r="C40" s="26" t="s">
        <x:v>282</x:v>
      </x:c>
      <x:c r="D40" s="26" t="s">
        <x:v>283</x:v>
      </x:c>
      <x:c r="E40" s="27" t="n">
        <x:v>0</x:v>
      </x:c>
      <x:c r="F40" s="19" t="n">
        <x:v>50</x:v>
      </x:c>
      <x:c r="G40" s="26" t="s">
        <x:v>124</x:v>
      </x:c>
      <x:c r="H40" s="26" t="s">
        <x:v>227</x:v>
      </x:c>
      <x:c r="I40" s="11" t="s">
        <x:v>284</x:v>
      </x:c>
      <x:c r="J40" s="19"/>
    </x:row>
    <x:row r="41" ht="17.149999618530273" hidden="0">
      <x:c r="A41" s="9" t="n">
        <x:v>8401</x:v>
      </x:c>
      <x:c r="B41" s="25" t="s">
        <x:v>285</x:v>
      </x:c>
      <x:c r="C41" s="26" t="s">
        <x:v>286</x:v>
      </x:c>
      <x:c r="D41" s="26" t="s">
        <x:v>286</x:v>
      </x:c>
      <x:c r="E41" s="27" t="n">
        <x:v>30</x:v>
      </x:c>
      <x:c r="F41" s="19" t="n">
        <x:v>20</x:v>
      </x:c>
      <x:c r="G41" s="19" t="s">
        <x:v>81</x:v>
      </x:c>
      <x:c r="H41" s="26" t="s">
        <x:v>234</x:v>
      </x:c>
      <x:c r="I41" s="11" t="s">
        <x:v>287</x:v>
      </x:c>
      <x:c r="J41" s="19"/>
    </x:row>
    <x:row r="42" ht="17.149999618530273" hidden="0">
      <x:c r="A42" s="9" t="n">
        <x:v>8402</x:v>
      </x:c>
      <x:c r="B42" s="25" t="s">
        <x:v>288</x:v>
      </x:c>
      <x:c r="C42" s="26" t="s">
        <x:v>286</x:v>
      </x:c>
      <x:c r="D42" s="26" t="s">
        <x:v>286</x:v>
      </x:c>
      <x:c r="E42" s="27" t="n">
        <x:v>15</x:v>
      </x:c>
      <x:c r="F42" s="19" t="n">
        <x:v>99</x:v>
      </x:c>
      <x:c r="G42" s="19" t="s">
        <x:v>81</x:v>
      </x:c>
      <x:c r="H42" s="26" t="s">
        <x:v>192</x:v>
      </x:c>
      <x:c r="I42" s="11" t="s">
        <x:v>289</x:v>
      </x:c>
      <x:c r="J42" s="19"/>
    </x:row>
    <x:row r="43" ht="17.149999618530273" hidden="0">
      <x:c r="A43" s="9" t="n">
        <x:v>8403</x:v>
      </x:c>
      <x:c r="B43" s="25" t="s">
        <x:v>290</x:v>
      </x:c>
      <x:c r="C43" s="26" t="s">
        <x:v>286</x:v>
      </x:c>
      <x:c r="D43" s="26" t="s">
        <x:v>286</x:v>
      </x:c>
      <x:c r="E43" s="27" t="n">
        <x:v>30</x:v>
      </x:c>
      <x:c r="F43" s="19" t="n">
        <x:v>20</x:v>
      </x:c>
      <x:c r="G43" s="19" t="s">
        <x:v>81</x:v>
      </x:c>
      <x:c r="H43" s="26" t="s">
        <x:v>234</x:v>
      </x:c>
      <x:c r="I43" s="11" t="s">
        <x:v>291</x:v>
      </x:c>
      <x:c r="J43" s="19"/>
    </x:row>
    <x:row r="44" ht="17.149999618530273" hidden="0">
      <x:c r="A44" s="9" t="n">
        <x:v>8404</x:v>
      </x:c>
      <x:c r="B44" s="25" t="s">
        <x:v>292</x:v>
      </x:c>
      <x:c r="C44" s="26" t="s">
        <x:v>286</x:v>
      </x:c>
      <x:c r="D44" s="26" t="s">
        <x:v>286</x:v>
      </x:c>
      <x:c r="E44" s="27" t="n">
        <x:v>15</x:v>
      </x:c>
      <x:c r="F44" s="19" t="n">
        <x:v>99</x:v>
      </x:c>
      <x:c r="G44" s="19" t="s">
        <x:v>81</x:v>
      </x:c>
      <x:c r="H44" s="26" t="s">
        <x:v>192</x:v>
      </x:c>
      <x:c r="I44" s="11" t="s">
        <x:v>293</x:v>
      </x:c>
      <x:c r="J44" s="19"/>
    </x:row>
    <x:row r="45" ht="17.149999618530273" hidden="0">
      <x:c r="A45" s="9" t="n">
        <x:v>8405</x:v>
      </x:c>
      <x:c r="B45" s="25" t="s">
        <x:v>294</x:v>
      </x:c>
      <x:c r="C45" s="26" t="s">
        <x:v>286</x:v>
      </x:c>
      <x:c r="D45" s="26" t="s">
        <x:v>286</x:v>
      </x:c>
      <x:c r="E45" s="27" t="n">
        <x:v>30</x:v>
      </x:c>
      <x:c r="F45" s="19" t="n">
        <x:v>20</x:v>
      </x:c>
      <x:c r="G45" s="19" t="s">
        <x:v>81</x:v>
      </x:c>
      <x:c r="H45" s="26" t="s">
        <x:v>234</x:v>
      </x:c>
      <x:c r="I45" s="11" t="s">
        <x:v>295</x:v>
      </x:c>
      <x:c r="J45" s="19"/>
    </x:row>
    <x:row r="46" ht="17.149999618530273" hidden="0">
      <x:c r="A46" s="9" t="n">
        <x:v>8406</x:v>
      </x:c>
      <x:c r="B46" s="25" t="s">
        <x:v>296</x:v>
      </x:c>
      <x:c r="C46" s="26" t="s">
        <x:v>286</x:v>
      </x:c>
      <x:c r="D46" s="26" t="s">
        <x:v>286</x:v>
      </x:c>
      <x:c r="E46" s="27" t="n">
        <x:v>15</x:v>
      </x:c>
      <x:c r="F46" s="19" t="n">
        <x:v>99</x:v>
      </x:c>
      <x:c r="G46" s="19" t="s">
        <x:v>81</x:v>
      </x:c>
      <x:c r="H46" s="26" t="s">
        <x:v>192</x:v>
      </x:c>
      <x:c r="I46" s="11" t="s">
        <x:v>297</x:v>
      </x:c>
      <x:c r="J46" s="19"/>
    </x:row>
    <x:row r="47" ht="17.149999618530273" hidden="0">
      <x:c r="A47" s="9" t="n">
        <x:v>8407</x:v>
      </x:c>
      <x:c r="B47" s="25" t="s">
        <x:v>298</x:v>
      </x:c>
      <x:c r="C47" s="26" t="s">
        <x:v>286</x:v>
      </x:c>
      <x:c r="D47" s="26" t="s">
        <x:v>286</x:v>
      </x:c>
      <x:c r="E47" s="27" t="n">
        <x:v>30</x:v>
      </x:c>
      <x:c r="F47" s="19" t="n">
        <x:v>20</x:v>
      </x:c>
      <x:c r="G47" s="19" t="s">
        <x:v>81</x:v>
      </x:c>
      <x:c r="H47" s="26" t="s">
        <x:v>234</x:v>
      </x:c>
      <x:c r="I47" s="11" t="s">
        <x:v>299</x:v>
      </x:c>
      <x:c r="J47" s="19"/>
    </x:row>
    <x:row r="48" ht="17.149999618530273" hidden="0">
      <x:c r="A48" s="9" t="n">
        <x:v>8408</x:v>
      </x:c>
      <x:c r="B48" s="25" t="s">
        <x:v>300</x:v>
      </x:c>
      <x:c r="C48" s="26" t="s">
        <x:v>286</x:v>
      </x:c>
      <x:c r="D48" s="26" t="s">
        <x:v>286</x:v>
      </x:c>
      <x:c r="E48" s="27" t="n">
        <x:v>15</x:v>
      </x:c>
      <x:c r="F48" s="19" t="n">
        <x:v>99</x:v>
      </x:c>
      <x:c r="G48" s="19" t="s">
        <x:v>81</x:v>
      </x:c>
      <x:c r="H48" s="26" t="s">
        <x:v>192</x:v>
      </x:c>
      <x:c r="I48" s="11" t="s">
        <x:v>301</x:v>
      </x:c>
      <x:c r="J48" s="19"/>
    </x:row>
    <x:row r="50" ht="32.79999923706055" hidden="0" customHeight="1">
      <x:c r="A50" s="28" t="s">
        <x:v>302</x:v>
      </x:c>
      <x:c r="B50" s="28"/>
      <x:c r="C50" s="28"/>
      <x:c r="D50" s="28"/>
      <x:c r="E50" s="28"/>
      <x:c r="F50" s="28"/>
      <x:c r="G50" s="28"/>
      <x:c r="H50" s="28"/>
      <x:c r="I50" s="28"/>
      <x:c r="J50" s="28"/>
    </x:row>
  </x:sheetData>
  <x:mergeCells>
    <x:mergeCell ref="A50:J5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9" hidden="0" customWidth="1"/>
    <x:col min="2" max="2" width="11" hidden="0" customWidth="1"/>
    <x:col min="3" max="3" width="16" hidden="0" customWidth="1"/>
    <x:col min="4" max="4" width="22" hidden="0" customWidth="1"/>
    <x:col min="5" max="5" width="9" hidden="0" customWidth="1"/>
    <x:col min="6" max="6" width="7" hidden="0" customWidth="1"/>
    <x:col min="7" max="7" width="9" hidden="0" customWidth="1"/>
    <x:col min="8" max="8" width="7" hidden="0" customWidth="1"/>
    <x:col min="9" max="9" width="9" hidden="0" customWidth="1"/>
    <x:col min="10" max="10" width="7" hidden="0" customWidth="1"/>
    <x:col min="11" max="11" width="10" hidden="0" customWidth="1"/>
    <x:col min="12" max="12" width="26" hidden="0" customWidth="1"/>
  </x:cols>
  <x:sheetData>
    <x:row r="1" ht="17.350000381469727" hidden="0">
      <x:c r="A1" s="1" t="s">
        <x:v>303</x:v>
      </x:c>
    </x:row>
    <x:row r="3" ht="17.149999618530273" hidden="0">
      <x:c r="A3" s="24" t="s">
        <x:v>304</x:v>
      </x:c>
      <x:c r="B3" s="7" t="s">
        <x:v>305</x:v>
      </x:c>
      <x:c r="C3" s="7" t="s">
        <x:v>306</x:v>
      </x:c>
      <x:c r="D3" s="7" t="s">
        <x:v>307</x:v>
      </x:c>
      <x:c r="E3" s="7" t="s">
        <x:v>308</x:v>
      </x:c>
      <x:c r="F3" s="7" t="s">
        <x:v>309</x:v>
      </x:c>
      <x:c r="G3" s="7" t="s">
        <x:v>310</x:v>
      </x:c>
      <x:c r="H3" s="7" t="s">
        <x:v>311</x:v>
      </x:c>
      <x:c r="I3" s="7" t="s">
        <x:v>312</x:v>
      </x:c>
      <x:c r="J3" s="7" t="s">
        <x:v>313</x:v>
      </x:c>
      <x:c r="K3" s="7" t="s">
        <x:v>314</x:v>
      </x:c>
      <x:c r="L3" s="7" t="s">
        <x:v>54</x:v>
      </x:c>
    </x:row>
    <x:row r="4" ht="17.149999618530273" hidden="0">
      <x:c r="A4" s="9" t="n">
        <x:v>1</x:v>
      </x:c>
      <x:c r="B4" s="9" t="n">
        <x:v>1003</x:v>
      </x:c>
      <x:c r="C4" s="29" t="s">
        <x:v>191</x:v>
      </x:c>
      <x:c r="D4" s="9" t="n">
        <x:v>7001</x:v>
      </x:c>
      <x:c r="E4" s="9" t="n">
        <x:v>1001</x:v>
      </x:c>
      <x:c r="F4" s="14" t="n">
        <x:v>2</x:v>
      </x:c>
      <x:c r="G4" s="9" t="n">
        <x:v>4001</x:v>
      </x:c>
      <x:c r="H4" s="14" t="n">
        <x:v>1</x:v>
      </x:c>
      <x:c r="I4" s="9" t="n">
        <x:v>0</x:v>
      </x:c>
      <x:c r="J4" s="14" t="n">
        <x:v>0</x:v>
      </x:c>
      <x:c r="K4" s="14" t="n">
        <x:v>10</x:v>
      </x:c>
      <x:c r="L4" s="29" t="s">
        <x:v>315</x:v>
      </x:c>
    </x:row>
    <x:row r="5" ht="17.149999618530273" hidden="0">
      <x:c r="A5" s="9" t="n">
        <x:v>2</x:v>
      </x:c>
      <x:c r="B5" s="9" t="n">
        <x:v>1004</x:v>
      </x:c>
      <x:c r="C5" s="29" t="s">
        <x:v>194</x:v>
      </x:c>
      <x:c r="D5" s="9" t="n">
        <x:v>7002</x:v>
      </x:c>
      <x:c r="E5" s="9" t="n">
        <x:v>1002</x:v>
      </x:c>
      <x:c r="F5" s="14" t="n">
        <x:v>2</x:v>
      </x:c>
      <x:c r="G5" s="9" t="n">
        <x:v>4001</x:v>
      </x:c>
      <x:c r="H5" s="14" t="n">
        <x:v>1</x:v>
      </x:c>
      <x:c r="I5" s="9" t="n">
        <x:v>0</x:v>
      </x:c>
      <x:c r="J5" s="14" t="n">
        <x:v>0</x:v>
      </x:c>
      <x:c r="K5" s="14" t="n">
        <x:v>10</x:v>
      </x:c>
      <x:c r="L5" s="29" t="s">
        <x:v>316</x:v>
      </x:c>
    </x:row>
    <x:row r="6" ht="17.149999618530273" hidden="0">
      <x:c r="A6" s="9" t="n">
        <x:v>3</x:v>
      </x:c>
      <x:c r="B6" s="9" t="n">
        <x:v>1005</x:v>
      </x:c>
      <x:c r="C6" s="29" t="s">
        <x:v>196</x:v>
      </x:c>
      <x:c r="D6" s="9" t="n">
        <x:v>0</x:v>
      </x:c>
      <x:c r="E6" s="9" t="n">
        <x:v>4001</x:v>
      </x:c>
      <x:c r="F6" s="14" t="n">
        <x:v>3</x:v>
      </x:c>
      <x:c r="G6" s="9" t="n">
        <x:v>0</x:v>
      </x:c>
      <x:c r="H6" s="14" t="n">
        <x:v>0</x:v>
      </x:c>
      <x:c r="I6" s="9" t="n">
        <x:v>0</x:v>
      </x:c>
      <x:c r="J6" s="14" t="n">
        <x:v>0</x:v>
      </x:c>
      <x:c r="K6" s="14" t="n">
        <x:v>10</x:v>
      </x:c>
      <x:c r="L6" s="29" t="s">
        <x:v>317</x:v>
      </x:c>
    </x:row>
    <x:row r="7" ht="17.149999618530273" hidden="0">
      <x:c r="A7" s="9" t="n">
        <x:v>4</x:v>
      </x:c>
      <x:c r="B7" s="9" t="n">
        <x:v>2001</x:v>
      </x:c>
      <x:c r="C7" s="29" t="s">
        <x:v>199</x:v>
      </x:c>
      <x:c r="D7" s="9" t="n">
        <x:v>0</x:v>
      </x:c>
      <x:c r="E7" s="9" t="n">
        <x:v>4002</x:v>
      </x:c>
      <x:c r="F7" s="14" t="n">
        <x:v>20</x:v>
      </x:c>
      <x:c r="G7" s="9" t="n">
        <x:v>7101</x:v>
      </x:c>
      <x:c r="H7" s="14" t="n">
        <x:v>1</x:v>
      </x:c>
      <x:c r="I7" s="9" t="n">
        <x:v>0</x:v>
      </x:c>
      <x:c r="J7" s="14" t="n">
        <x:v>0</x:v>
      </x:c>
      <x:c r="K7" s="14" t="n">
        <x:v>50</x:v>
      </x:c>
      <x:c r="L7" s="29" t="s">
        <x:v>318</x:v>
      </x:c>
    </x:row>
    <x:row r="8" ht="17.149999618530273" hidden="0">
      <x:c r="A8" s="9" t="n">
        <x:v>5</x:v>
      </x:c>
      <x:c r="B8" s="9" t="n">
        <x:v>3101</x:v>
      </x:c>
      <x:c r="C8" s="29" t="s">
        <x:v>266</x:v>
      </x:c>
      <x:c r="D8" s="9" t="n">
        <x:v>0</x:v>
      </x:c>
      <x:c r="E8" s="9" t="n">
        <x:v>4002</x:v>
      </x:c>
      <x:c r="F8" s="14" t="n">
        <x:v>20</x:v>
      </x:c>
      <x:c r="G8" s="9" t="n">
        <x:v>7102</x:v>
      </x:c>
      <x:c r="H8" s="14" t="n">
        <x:v>1</x:v>
      </x:c>
      <x:c r="I8" s="9" t="n">
        <x:v>0</x:v>
      </x:c>
      <x:c r="J8" s="14" t="n">
        <x:v>0</x:v>
      </x:c>
      <x:c r="K8" s="14" t="n">
        <x:v>50</x:v>
      </x:c>
      <x:c r="L8" s="29" t="s">
        <x:v>319</x:v>
      </x:c>
    </x:row>
    <x:row r="9" ht="32.79999923706055" hidden="0">
      <x:c r="A9" s="9" t="n">
        <x:v>6</x:v>
      </x:c>
      <x:c r="B9" s="9" t="n">
        <x:v>2002</x:v>
      </x:c>
      <x:c r="C9" s="29" t="s">
        <x:v>202</x:v>
      </x:c>
      <x:c r="D9" s="9" t="n">
        <x:v>0</x:v>
      </x:c>
      <x:c r="E9" s="9" t="n">
        <x:v>4002</x:v>
      </x:c>
      <x:c r="F9" s="14" t="n">
        <x:v>20</x:v>
      </x:c>
      <x:c r="G9" s="9" t="n">
        <x:v>7103</x:v>
      </x:c>
      <x:c r="H9" s="14" t="n">
        <x:v>1</x:v>
      </x:c>
      <x:c r="I9" s="9" t="n">
        <x:v>4003</x:v>
      </x:c>
      <x:c r="J9" s="14" t="n">
        <x:v>3</x:v>
      </x:c>
      <x:c r="K9" s="14" t="n">
        <x:v>80</x:v>
      </x:c>
      <x:c r="L9" s="29" t="s">
        <x:v>320</x:v>
      </x:c>
    </x:row>
    <x:row r="11" ht="17.149999618530273" hidden="0" customHeight="1">
      <x:c r="A11" s="28" t="s">
        <x:v>321</x:v>
      </x:c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</x:row>
  </x:sheetData>
  <x:mergeCells>
    <x:mergeCell ref="A11:L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4" hidden="0" customWidth="1"/>
    <x:col min="2" max="2" width="28" hidden="0" customWidth="1"/>
    <x:col min="3" max="3" width="22" hidden="0" customWidth="1"/>
    <x:col min="4" max="4" width="14" hidden="0" customWidth="1"/>
    <x:col min="5" max="5" width="12" hidden="0" customWidth="1"/>
    <x:col min="6" max="6" width="9" hidden="0" customWidth="1"/>
  </x:cols>
  <x:sheetData>
    <x:row r="1" ht="17.350000381469727" hidden="0">
      <x:c r="A1" s="1" t="s">
        <x:v>322</x:v>
      </x:c>
    </x:row>
    <x:row r="2" ht="32.79999923706055" hidden="0" customHeight="1">
      <x:c r="A2" s="17" t="s">
        <x:v>323</x:v>
      </x:c>
      <x:c r="B2" s="17"/>
      <x:c r="C2" s="17"/>
      <x:c r="D2" s="17"/>
      <x:c r="E2" s="17"/>
      <x:c r="F2" s="17"/>
    </x:row>
    <x:row r="4" ht="17.149999618530273" hidden="0">
      <x:c r="A4" s="7" t="s">
        <x:v>324</x:v>
      </x:c>
      <x:c r="B4" s="7" t="s">
        <x:v>325</x:v>
      </x:c>
      <x:c r="C4" s="7" t="s">
        <x:v>326</x:v>
      </x:c>
      <x:c r="D4" s="7" t="s">
        <x:v>327</x:v>
      </x:c>
      <x:c r="E4" s="7" t="s">
        <x:v>328</x:v>
      </x:c>
      <x:c r="F4" s="7" t="s">
        <x:v>329</x:v>
      </x:c>
    </x:row>
    <x:row r="5" ht="17.149999618530273" hidden="0">
      <x:c r="A5" s="18" t="s">
        <x:v>185</x:v>
      </x:c>
      <x:c r="B5" s="11" t="s">
        <x:v>330</x:v>
      </x:c>
      <x:c r="C5" s="11" t="s">
        <x:v>331</x:v>
      </x:c>
      <x:c r="D5" s="10" t="s">
        <x:v>332</x:v>
      </x:c>
      <x:c r="E5" s="10" t="s">
        <x:v>333</x:v>
      </x:c>
      <x:c r="F5" s="10" t="s">
        <x:v>126</x:v>
      </x:c>
    </x:row>
    <x:row r="6" ht="17.149999618530273" hidden="0">
      <x:c r="A6" s="18" t="s">
        <x:v>189</x:v>
      </x:c>
      <x:c r="B6" s="11" t="s">
        <x:v>334</x:v>
      </x:c>
      <x:c r="C6" s="11" t="s">
        <x:v>331</x:v>
      </x:c>
      <x:c r="D6" s="10" t="s">
        <x:v>332</x:v>
      </x:c>
      <x:c r="E6" s="10" t="s">
        <x:v>333</x:v>
      </x:c>
      <x:c r="F6" s="10" t="s">
        <x:v>126</x:v>
      </x:c>
    </x:row>
    <x:row r="7" ht="17.149999618530273" hidden="0">
      <x:c r="A7" s="18" t="s">
        <x:v>197</x:v>
      </x:c>
      <x:c r="B7" s="11" t="s">
        <x:v>335</x:v>
      </x:c>
      <x:c r="C7" s="30" t="s">
        <x:v>336</x:v>
      </x:c>
      <x:c r="D7" s="10" t="s">
        <x:v>332</x:v>
      </x:c>
      <x:c r="E7" s="10" t="s">
        <x:v>333</x:v>
      </x:c>
      <x:c r="F7" s="10" t="s">
        <x:v>126</x:v>
      </x:c>
    </x:row>
    <x:row r="8" ht="17.149999618530273" hidden="0">
      <x:c r="A8" s="18" t="s">
        <x:v>119</x:v>
      </x:c>
      <x:c r="B8" s="11" t="s">
        <x:v>337</x:v>
      </x:c>
      <x:c r="C8" s="11" t="s">
        <x:v>338</x:v>
      </x:c>
      <x:c r="D8" s="10" t="s">
        <x:v>339</x:v>
      </x:c>
      <x:c r="E8" s="10" t="s">
        <x:v>340</x:v>
      </x:c>
      <x:c r="F8" s="10" t="s">
        <x:v>126</x:v>
      </x:c>
    </x:row>
    <x:row r="9" ht="17.149999618530273" hidden="0">
      <x:c r="A9" s="18" t="s">
        <x:v>120</x:v>
      </x:c>
      <x:c r="B9" s="11" t="s">
        <x:v>341</x:v>
      </x:c>
      <x:c r="C9" s="11" t="s">
        <x:v>342</x:v>
      </x:c>
      <x:c r="D9" s="10" t="s">
        <x:v>332</x:v>
      </x:c>
      <x:c r="E9" s="10" t="s">
        <x:v>343</x:v>
      </x:c>
      <x:c r="F9" s="10" t="s">
        <x:v>126</x:v>
      </x:c>
    </x:row>
    <x:row r="10" ht="17.149999618530273" hidden="0">
      <x:c r="A10" s="18" t="s">
        <x:v>205</x:v>
      </x:c>
      <x:c r="B10" s="11" t="s">
        <x:v>344</x:v>
      </x:c>
      <x:c r="C10" s="11" t="s">
        <x:v>345</x:v>
      </x:c>
      <x:c r="D10" s="10" t="s">
        <x:v>346</x:v>
      </x:c>
      <x:c r="E10" s="10" t="s">
        <x:v>347</x:v>
      </x:c>
      <x:c r="F10" s="10" t="s">
        <x:v>126</x:v>
      </x:c>
    </x:row>
    <x:row r="11" ht="17.149999618530273" hidden="0">
      <x:c r="A11" s="18" t="s">
        <x:v>226</x:v>
      </x:c>
      <x:c r="B11" s="11" t="s">
        <x:v>348</x:v>
      </x:c>
      <x:c r="C11" s="11" t="s">
        <x:v>349</x:v>
      </x:c>
      <x:c r="D11" s="10" t="s">
        <x:v>332</x:v>
      </x:c>
      <x:c r="E11" s="10" t="s">
        <x:v>333</x:v>
      </x:c>
      <x:c r="F11" s="10" t="s">
        <x:v>126</x:v>
      </x:c>
    </x:row>
    <x:row r="12" ht="17.149999618530273" hidden="0">
      <x:c r="A12" s="18" t="s">
        <x:v>239</x:v>
      </x:c>
      <x:c r="B12" s="11" t="s">
        <x:v>350</x:v>
      </x:c>
      <x:c r="C12" s="30" t="s">
        <x:v>336</x:v>
      </x:c>
      <x:c r="D12" s="10" t="s">
        <x:v>346</x:v>
      </x:c>
      <x:c r="E12" s="10" t="s">
        <x:v>351</x:v>
      </x:c>
      <x:c r="F12" s="10" t="s">
        <x:v>126</x:v>
      </x:c>
    </x:row>
    <x:row r="13" ht="17.149999618530273" hidden="0">
      <x:c r="A13" s="18" t="s">
        <x:v>216</x:v>
      </x:c>
      <x:c r="B13" s="11" t="s">
        <x:v>352</x:v>
      </x:c>
      <x:c r="C13" s="30" t="s">
        <x:v>336</x:v>
      </x:c>
      <x:c r="D13" s="13" t="s">
        <x:v>81</x:v>
      </x:c>
      <x:c r="E13" s="13" t="s">
        <x:v>81</x:v>
      </x:c>
      <x:c r="F13" s="10" t="s">
        <x:v>126</x:v>
      </x:c>
    </x:row>
    <x:row r="14" ht="17.149999618530273" hidden="0">
      <x:c r="A14" s="18" t="s">
        <x:v>286</x:v>
      </x:c>
      <x:c r="B14" s="11" t="s">
        <x:v>353</x:v>
      </x:c>
      <x:c r="C14" s="11" t="s">
        <x:v>354</x:v>
      </x:c>
      <x:c r="D14" s="10" t="s">
        <x:v>355</x:v>
      </x:c>
      <x:c r="E14" s="10" t="s">
        <x:v>356</x:v>
      </x:c>
      <x:c r="F14" s="10" t="s">
        <x:v>126</x:v>
      </x:c>
    </x:row>
    <x:row r="15" ht="17.149999618530273" hidden="0">
      <x:c r="A15" s="18" t="s">
        <x:v>283</x:v>
      </x:c>
      <x:c r="B15" s="11" t="s">
        <x:v>357</x:v>
      </x:c>
      <x:c r="C15" s="30" t="s">
        <x:v>336</x:v>
      </x:c>
      <x:c r="D15" s="10" t="s">
        <x:v>355</x:v>
      </x:c>
      <x:c r="E15" s="10" t="s">
        <x:v>358</x:v>
      </x:c>
      <x:c r="F15" s="10" t="s">
        <x:v>126</x:v>
      </x:c>
    </x:row>
    <x:row r="16" ht="32.79999923706055" hidden="0">
      <x:c r="A16" s="18" t="s">
        <x:v>277</x:v>
      </x:c>
      <x:c r="B16" s="11" t="s">
        <x:v>359</x:v>
      </x:c>
      <x:c r="C16" s="11" t="s">
        <x:v>360</x:v>
      </x:c>
      <x:c r="D16" s="10" t="s">
        <x:v>355</x:v>
      </x:c>
      <x:c r="E16" s="10" t="s">
        <x:v>333</x:v>
      </x:c>
      <x:c r="F16" s="10" t="s">
        <x:v>126</x:v>
      </x:c>
    </x:row>
    <x:row r="17" ht="17.149999618530273" hidden="0">
      <x:c r="A17" s="18" t="s">
        <x:v>243</x:v>
      </x:c>
      <x:c r="B17" s="11" t="s">
        <x:v>361</x:v>
      </x:c>
      <x:c r="C17" s="11" t="s">
        <x:v>362</x:v>
      </x:c>
      <x:c r="D17" s="10" t="s">
        <x:v>332</x:v>
      </x:c>
      <x:c r="E17" s="10" t="s">
        <x:v>333</x:v>
      </x:c>
      <x:c r="F17" s="10" t="s">
        <x:v>126</x:v>
      </x:c>
    </x:row>
    <x:row r="18" ht="32.79999923706055" hidden="0">
      <x:c r="A18" s="18" t="s">
        <x:v>249</x:v>
      </x:c>
      <x:c r="B18" s="11" t="s">
        <x:v>363</x:v>
      </x:c>
      <x:c r="C18" s="11" t="s">
        <x:v>364</x:v>
      </x:c>
      <x:c r="D18" s="10" t="s">
        <x:v>332</x:v>
      </x:c>
      <x:c r="E18" s="10" t="s">
        <x:v>333</x:v>
      </x:c>
      <x:c r="F18" s="10" t="s">
        <x:v>126</x:v>
      </x:c>
    </x:row>
    <x:row r="19" ht="17.149999618530273" hidden="0">
      <x:c r="A19" s="18" t="s">
        <x:v>258</x:v>
      </x:c>
      <x:c r="B19" s="11" t="s">
        <x:v>365</x:v>
      </x:c>
      <x:c r="C19" s="30" t="s">
        <x:v>336</x:v>
      </x:c>
      <x:c r="D19" s="10" t="s">
        <x:v>366</x:v>
      </x:c>
      <x:c r="E19" s="10" t="s">
        <x:v>333</x:v>
      </x:c>
      <x:c r="F19" s="16" t="s">
        <x:v>367</x:v>
      </x:c>
    </x:row>
    <x:row r="20" ht="32.79999923706055" hidden="0">
      <x:c r="A20" s="18" t="s">
        <x:v>261</x:v>
      </x:c>
      <x:c r="B20" s="11" t="s">
        <x:v>368</x:v>
      </x:c>
      <x:c r="C20" s="11" t="s">
        <x:v>369</x:v>
      </x:c>
      <x:c r="D20" s="10" t="s">
        <x:v>370</x:v>
      </x:c>
      <x:c r="E20" s="10" t="s">
        <x:v>333</x:v>
      </x:c>
      <x:c r="F20" s="16" t="s">
        <x:v>367</x:v>
      </x:c>
    </x:row>
    <x:row r="21" ht="32.79999923706055" hidden="0">
      <x:c r="A21" s="18" t="s">
        <x:v>264</x:v>
      </x:c>
      <x:c r="B21" s="11" t="s">
        <x:v>371</x:v>
      </x:c>
      <x:c r="C21" s="30" t="s">
        <x:v>336</x:v>
      </x:c>
      <x:c r="D21" s="10" t="s">
        <x:v>366</x:v>
      </x:c>
      <x:c r="E21" s="10" t="s">
        <x:v>333</x:v>
      </x:c>
      <x:c r="F21" s="16" t="s">
        <x:v>367</x:v>
      </x:c>
    </x:row>
    <x:row r="22" ht="17.149999618530273" hidden="0">
      <x:c r="A22" s="18" t="s">
        <x:v>372</x:v>
      </x:c>
      <x:c r="B22" s="11" t="s">
        <x:v>373</x:v>
      </x:c>
      <x:c r="C22" s="11" t="s">
        <x:v>374</x:v>
      </x:c>
      <x:c r="D22" s="10" t="s">
        <x:v>332</x:v>
      </x:c>
      <x:c r="E22" s="10" t="s">
        <x:v>333</x:v>
      </x:c>
      <x:c r="F22" s="10" t="s">
        <x:v>126</x:v>
      </x:c>
    </x:row>
    <x:row r="23" ht="17.149999618530273" hidden="0">
      <x:c r="A23" s="18" t="s">
        <x:v>375</x:v>
      </x:c>
      <x:c r="B23" s="11" t="s">
        <x:v>376</x:v>
      </x:c>
      <x:c r="C23" s="11" t="s">
        <x:v>377</x:v>
      </x:c>
      <x:c r="D23" s="10" t="s">
        <x:v>378</x:v>
      </x:c>
      <x:c r="E23" s="10" t="s">
        <x:v>351</x:v>
      </x:c>
      <x:c r="F23" s="10" t="s">
        <x:v>126</x:v>
      </x:c>
    </x:row>
    <x:row r="24" ht="17.149999618530273" hidden="0">
      <x:c r="A24" s="18" t="s">
        <x:v>233</x:v>
      </x:c>
      <x:c r="B24" s="11" t="s">
        <x:v>379</x:v>
      </x:c>
      <x:c r="C24" s="30" t="s">
        <x:v>336</x:v>
      </x:c>
      <x:c r="D24" s="10" t="s">
        <x:v>380</x:v>
      </x:c>
      <x:c r="E24" s="10" t="s">
        <x:v>381</x:v>
      </x:c>
      <x:c r="F24" s="16" t="s">
        <x:v>367</x:v>
      </x:c>
    </x:row>
    <x:row r="26" ht="17.149999618530273" hidden="0" customHeight="1">
      <x:c r="A26" s="28" t="s">
        <x:v>382</x:v>
      </x:c>
      <x:c r="B26" s="28"/>
      <x:c r="C26" s="28"/>
      <x:c r="D26" s="28"/>
      <x:c r="E26" s="28"/>
      <x:c r="F26" s="28"/>
    </x:row>
  </x:sheetData>
  <x:mergeCells>
    <x:mergeCell ref="A2:F2"/>
    <x:mergeCell ref="A26:F2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9" hidden="0" customWidth="1"/>
    <x:col min="2" max="2" width="12" hidden="0" customWidth="1"/>
    <x:col min="3" max="3" width="8" hidden="0" customWidth="1"/>
    <x:col min="4" max="4" width="16" hidden="0" customWidth="1"/>
    <x:col min="5" max="5" width="8" hidden="0" customWidth="1"/>
    <x:col min="6" max="6" width="14" hidden="0" customWidth="1"/>
    <x:col min="7" max="7" width="28" hidden="0" customWidth="1"/>
  </x:cols>
  <x:sheetData>
    <x:row r="1" ht="21.600000381469727" hidden="0">
      <x:c r="A1" s="1" t="s">
        <x:v>383</x:v>
      </x:c>
    </x:row>
    <x:row r="3" ht="17.149999618530273" hidden="0">
      <x:c r="A3" s="24" t="s">
        <x:v>384</x:v>
      </x:c>
      <x:c r="B3" s="7" t="s">
        <x:v>150</x:v>
      </x:c>
      <x:c r="C3" s="7" t="s">
        <x:v>385</x:v>
      </x:c>
      <x:c r="D3" s="7" t="s">
        <x:v>386</x:v>
      </x:c>
      <x:c r="E3" s="7" t="s">
        <x:v>52</x:v>
      </x:c>
      <x:c r="F3" s="7" t="s">
        <x:v>387</x:v>
      </x:c>
      <x:c r="G3" s="7" t="s">
        <x:v>54</x:v>
      </x:c>
    </x:row>
    <x:row r="4" ht="17.149999618530273" hidden="0">
      <x:c r="A4" s="9" t="n">
        <x:v>1</x:v>
      </x:c>
      <x:c r="B4" s="21" t="s">
        <x:v>388</x:v>
      </x:c>
      <x:c r="C4" s="19" t="s">
        <x:v>389</x:v>
      </x:c>
      <x:c r="D4" s="21" t="s">
        <x:v>390</x:v>
      </x:c>
      <x:c r="E4" s="19" t="s">
        <x:v>391</x:v>
      </x:c>
      <x:c r="F4" s="19" t="s">
        <x:v>392</x:v>
      </x:c>
      <x:c r="G4" s="11" t="s">
        <x:v>393</x:v>
      </x:c>
    </x:row>
    <x:row r="5" ht="17.149999618530273" hidden="0">
      <x:c r="A5" s="9" t="n">
        <x:v>2</x:v>
      </x:c>
      <x:c r="B5" s="21" t="s">
        <x:v>394</x:v>
      </x:c>
      <x:c r="C5" s="19" t="s">
        <x:v>389</x:v>
      </x:c>
      <x:c r="D5" s="21" t="s">
        <x:v>395</x:v>
      </x:c>
      <x:c r="E5" s="19" t="s">
        <x:v>391</x:v>
      </x:c>
      <x:c r="F5" s="19" t="s">
        <x:v>392</x:v>
      </x:c>
      <x:c r="G5" s="11" t="s">
        <x:v>396</x:v>
      </x:c>
    </x:row>
    <x:row r="6" ht="17.149999618530273" hidden="0">
      <x:c r="A6" s="9" t="n">
        <x:v>3</x:v>
      </x:c>
      <x:c r="B6" s="21" t="s">
        <x:v>397</x:v>
      </x:c>
      <x:c r="C6" s="19" t="s">
        <x:v>389</x:v>
      </x:c>
      <x:c r="D6" s="21" t="s">
        <x:v>398</x:v>
      </x:c>
      <x:c r="E6" s="19" t="s">
        <x:v>399</x:v>
      </x:c>
      <x:c r="F6" s="19" t="s">
        <x:v>400</x:v>
      </x:c>
      <x:c r="G6" s="11" t="s">
        <x:v>401</x:v>
      </x:c>
    </x:row>
    <x:row r="7" ht="17.149999618530273" hidden="0">
      <x:c r="A7" s="9" t="n">
        <x:v>4</x:v>
      </x:c>
      <x:c r="B7" s="21" t="s">
        <x:v>402</x:v>
      </x:c>
      <x:c r="C7" s="19" t="s">
        <x:v>403</x:v>
      </x:c>
      <x:c r="D7" s="21" t="s">
        <x:v>404</x:v>
      </x:c>
      <x:c r="E7" s="19" t="s">
        <x:v>399</x:v>
      </x:c>
      <x:c r="F7" s="26" t="s">
        <x:v>405</x:v>
      </x:c>
      <x:c r="G7" s="11" t="s">
        <x:v>406</x:v>
      </x:c>
    </x:row>
    <x:row r="8" ht="17.149999618530273" hidden="0">
      <x:c r="A8" s="9" t="n">
        <x:v>5</x:v>
      </x:c>
      <x:c r="B8" s="21" t="s">
        <x:v>407</x:v>
      </x:c>
      <x:c r="C8" s="19" t="s">
        <x:v>403</x:v>
      </x:c>
      <x:c r="D8" s="21" t="s">
        <x:v>408</x:v>
      </x:c>
      <x:c r="E8" s="19" t="s">
        <x:v>409</x:v>
      </x:c>
      <x:c r="F8" s="19" t="s">
        <x:v>410</x:v>
      </x:c>
      <x:c r="G8" s="11" t="s">
        <x:v>411</x:v>
      </x:c>
    </x:row>
    <x:row r="9" ht="17.149999618530273" hidden="0">
      <x:c r="A9" s="9" t="n">
        <x:v>6</x:v>
      </x:c>
      <x:c r="B9" s="21" t="s">
        <x:v>412</x:v>
      </x:c>
      <x:c r="C9" s="19" t="s">
        <x:v>403</x:v>
      </x:c>
      <x:c r="D9" s="21" t="s">
        <x:v>413</x:v>
      </x:c>
      <x:c r="E9" s="19" t="s">
        <x:v>399</x:v>
      </x:c>
      <x:c r="F9" s="19" t="s">
        <x:v>414</x:v>
      </x:c>
      <x:c r="G9" s="11" t="s">
        <x:v>239</x:v>
      </x:c>
    </x:row>
    <x:row r="10" ht="32.79999923706055" hidden="0">
      <x:c r="A10" s="9" t="n">
        <x:v>7</x:v>
      </x:c>
      <x:c r="B10" s="21" t="s">
        <x:v>415</x:v>
      </x:c>
      <x:c r="C10" s="19" t="s">
        <x:v>403</x:v>
      </x:c>
      <x:c r="D10" s="21" t="s">
        <x:v>416</x:v>
      </x:c>
      <x:c r="E10" s="19" t="s">
        <x:v>417</x:v>
      </x:c>
      <x:c r="F10" s="19" t="s">
        <x:v>418</x:v>
      </x:c>
      <x:c r="G10" s="11" t="str">
        <x:v>突破失敗懲罰；可消耗50法力回復正常</x:v>
      </x:c>
    </x:row>
    <x:row r="11" ht="17.149999618530273" hidden="0">
      <x:c r="A11" s="9" t="n">
        <x:v>8</x:v>
      </x:c>
      <x:c r="B11" s="21" t="s">
        <x:v>419</x:v>
      </x:c>
      <x:c r="C11" s="19" t="s">
        <x:v>403</x:v>
      </x:c>
      <x:c r="D11" s="21" t="s">
        <x:v>420</x:v>
      </x:c>
      <x:c r="E11" s="19" t="s">
        <x:v>399</x:v>
      </x:c>
      <x:c r="F11" s="26" t="s">
        <x:v>421</x:v>
      </x:c>
      <x:c r="G11" s="11" t="s">
        <x:v>422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8" hidden="0" customWidth="1"/>
    <x:col min="2" max="2" width="26" hidden="0" customWidth="1"/>
    <x:col min="3" max="3" width="16" hidden="0" customWidth="1"/>
    <x:col min="4" max="4" width="14" hidden="0" customWidth="1"/>
    <x:col min="5" max="5" width="24" hidden="0" customWidth="1"/>
  </x:cols>
  <x:sheetData>
    <x:row r="1" ht="17.350000381469727" hidden="0">
      <x:c r="A1" s="1" t="s">
        <x:v>423</x:v>
      </x:c>
    </x:row>
    <x:row r="3" ht="15" hidden="0">
      <x:c r="A3" s="7" t="s">
        <x:v>424</x:v>
      </x:c>
      <x:c r="B3" s="7" t="s">
        <x:v>425</x:v>
      </x:c>
      <x:c r="C3" s="7" t="s">
        <x:v>426</x:v>
      </x:c>
      <x:c r="D3" s="7" t="s">
        <x:v>427</x:v>
      </x:c>
      <x:c r="E3" s="7" t="s">
        <x:v>54</x:v>
      </x:c>
    </x:row>
    <x:row r="4" ht="32.79999923706055" hidden="0">
      <x:c r="A4" s="10" t="s">
        <x:v>428</x:v>
      </x:c>
      <x:c r="B4" s="11" t="s">
        <x:v>429</x:v>
      </x:c>
      <x:c r="C4" s="10" t="s">
        <x:v>430</x:v>
      </x:c>
      <x:c r="D4" s="10" t="n">
        <x:f aca="0">'系統參數'!B9</x:f>
        <x:v>30</x:v>
      </x:c>
      <x:c r="E4" s="11" t="s">
        <x:v>431</x:v>
      </x:c>
    </x:row>
    <x:row r="5" ht="17.149999618530273" hidden="0">
      <x:c r="A5" s="10" t="s">
        <x:v>432</x:v>
      </x:c>
      <x:c r="B5" s="11" t="s">
        <x:v>433</x:v>
      </x:c>
      <x:c r="C5" s="10" t="s">
        <x:v>434</x:v>
      </x:c>
      <x:c r="D5" s="10" t="n">
        <x:f aca="0">'系統參數'!B8</x:f>
        <x:v>10</x:v>
      </x:c>
      <x:c r="E5" s="11" t="s">
        <x:v>435</x:v>
      </x:c>
    </x:row>
    <x:row r="6" ht="17.149999618530273" hidden="0">
      <x:c r="A6" s="10" t="s">
        <x:v>436</x:v>
      </x:c>
      <x:c r="B6" s="11" t="s">
        <x:v>437</x:v>
      </x:c>
      <x:c r="C6" s="10" t="s">
        <x:v>434</x:v>
      </x:c>
      <x:c r="D6" s="10" t="n">
        <x:f aca="0">'系統參數'!B8</x:f>
        <x:v>10</x:v>
      </x:c>
      <x:c r="E6" s="11" t="s">
        <x:v>435</x:v>
      </x:c>
    </x:row>
    <x:row r="7" ht="17.149999618530273" hidden="0">
      <x:c r="A7" s="10" t="s">
        <x:v>438</x:v>
      </x:c>
      <x:c r="B7" s="11" t="s">
        <x:v>439</x:v>
      </x:c>
      <x:c r="C7" s="10" t="s">
        <x:v>440</x:v>
      </x:c>
      <x:c r="D7" s="10" t="n">
        <x:f aca="0">'系統參數'!B10</x:f>
        <x:v>15</x:v>
      </x:c>
      <x:c r="E7" s="11" t="s">
        <x:v>441</x:v>
      </x:c>
    </x:row>
    <x:row r="8" ht="17.149999618530273" hidden="0">
      <x:c r="A8" s="10" t="s">
        <x:v>442</x:v>
      </x:c>
      <x:c r="B8" s="11" t="s">
        <x:v>443</x:v>
      </x:c>
      <x:c r="C8" s="13" t="s">
        <x:v>81</x:v>
      </x:c>
      <x:c r="D8" s="19" t="n">
        <x:v>0</x:v>
      </x:c>
      <x:c r="E8" s="11" t="s">
        <x:v>444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" hidden="0" customWidth="1"/>
    <x:col min="2" max="2" width="13" hidden="0" customWidth="1"/>
    <x:col min="3" max="3" width="8" hidden="0" customWidth="1"/>
    <x:col min="4" max="4" width="6" hidden="0" customWidth="1"/>
    <x:col min="5" max="5" width="10" hidden="0" customWidth="1"/>
    <x:col min="6" max="9" width="9" hidden="0" customWidth="1"/>
    <x:col min="10" max="10" width="10" hidden="0" customWidth="1"/>
    <x:col min="11" max="11" width="22" hidden="0" customWidth="1"/>
    <x:col min="12" max="12" width="14" hidden="0" customWidth="1"/>
    <x:col min="13" max="13" width="16" hidden="0" customWidth="1"/>
  </x:cols>
  <x:sheetData>
    <x:row r="1" ht="21.600000381469727" hidden="0">
      <x:c r="A1" s="1" t="s">
        <x:v>445</x:v>
      </x:c>
    </x:row>
    <x:row r="3" ht="17.149999618530273" hidden="0">
      <x:c r="A3" s="24" t="s">
        <x:v>446</x:v>
      </x:c>
      <x:c r="B3" s="7" t="s">
        <x:v>150</x:v>
      </x:c>
      <x:c r="C3" s="7" t="s">
        <x:v>176</x:v>
      </x:c>
      <x:c r="D3" s="7" t="s">
        <x:v>113</x:v>
      </x:c>
      <x:c r="E3" s="7" t="s">
        <x:v>447</x:v>
      </x:c>
      <x:c r="F3" s="7" t="s">
        <x:v>448</x:v>
      </x:c>
      <x:c r="G3" s="7" t="s">
        <x:v>56</x:v>
      </x:c>
      <x:c r="H3" s="7" t="s">
        <x:v>119</x:v>
      </x:c>
      <x:c r="I3" s="7" t="s">
        <x:v>120</x:v>
      </x:c>
      <x:c r="J3" s="7" t="s">
        <x:v>449</x:v>
      </x:c>
      <x:c r="K3" s="7" t="s">
        <x:v>450</x:v>
      </x:c>
      <x:c r="L3" s="7" t="s">
        <x:v>451</x:v>
      </x:c>
      <x:c r="M3" s="7" t="s">
        <x:v>54</x:v>
      </x:c>
    </x:row>
    <x:row r="4" ht="17.149999618530273" hidden="0">
      <x:c r="A4" s="9" t="n">
        <x:v>9001</x:v>
      </x:c>
      <x:c r="B4" s="21" t="s">
        <x:v>452</x:v>
      </x:c>
      <x:c r="C4" s="26" t="s">
        <x:v>453</x:v>
      </x:c>
      <x:c r="D4" s="19" t="n">
        <x:v>1</x:v>
      </x:c>
      <x:c r="E4" s="26" t="s">
        <x:v>123</x:v>
      </x:c>
      <x:c r="F4" s="27" t="n">
        <x:v>120</x:v>
      </x:c>
      <x:c r="G4" s="27" t="n">
        <x:v>0</x:v>
      </x:c>
      <x:c r="H4" s="27" t="n">
        <x:v>12</x:v>
      </x:c>
      <x:c r="I4" s="27" t="n">
        <x:v>6</x:v>
      </x:c>
      <x:c r="J4" s="27" t="n">
        <x:v>30</x:v>
      </x:c>
      <x:c r="K4" s="31" t="s">
        <x:v>454</x:v>
      </x:c>
      <x:c r="L4" s="11" t="s">
        <x:v>455</x:v>
      </x:c>
      <x:c r="M4" s="11" t="s">
        <x:v>456</x:v>
      </x:c>
    </x:row>
    <x:row r="5" ht="17.149999618530273" hidden="0">
      <x:c r="A5" s="9" t="n">
        <x:v>9002</x:v>
      </x:c>
      <x:c r="B5" s="21" t="s">
        <x:v>457</x:v>
      </x:c>
      <x:c r="C5" s="26" t="s">
        <x:v>453</x:v>
      </x:c>
      <x:c r="D5" s="19" t="n">
        <x:v>2</x:v>
      </x:c>
      <x:c r="E5" s="26" t="s">
        <x:v>123</x:v>
      </x:c>
      <x:c r="F5" s="27" t="n">
        <x:v>180</x:v>
      </x:c>
      <x:c r="G5" s="27" t="n">
        <x:v>0</x:v>
      </x:c>
      <x:c r="H5" s="27" t="n">
        <x:v>18</x:v>
      </x:c>
      <x:c r="I5" s="27" t="n">
        <x:v>10</x:v>
      </x:c>
      <x:c r="J5" s="27" t="n">
        <x:v>55</x:v>
      </x:c>
      <x:c r="K5" s="31" t="s">
        <x:v>458</x:v>
      </x:c>
      <x:c r="L5" s="11" t="s">
        <x:v>459</x:v>
      </x:c>
      <x:c r="M5" s="11" t="s">
        <x:v>460</x:v>
      </x:c>
    </x:row>
    <x:row r="6" ht="17.149999618530273" hidden="0">
      <x:c r="A6" s="9" t="n">
        <x:v>9003</x:v>
      </x:c>
      <x:c r="B6" s="21" t="s">
        <x:v>461</x:v>
      </x:c>
      <x:c r="C6" s="26" t="s">
        <x:v>453</x:v>
      </x:c>
      <x:c r="D6" s="19" t="n">
        <x:v>3</x:v>
      </x:c>
      <x:c r="E6" s="26" t="s">
        <x:v>123</x:v>
      </x:c>
      <x:c r="F6" s="27" t="n">
        <x:v>260</x:v>
      </x:c>
      <x:c r="G6" s="27" t="n">
        <x:v>0</x:v>
      </x:c>
      <x:c r="H6" s="27" t="n">
        <x:v>26</x:v>
      </x:c>
      <x:c r="I6" s="27" t="n">
        <x:v>15</x:v>
      </x:c>
      <x:c r="J6" s="27" t="n">
        <x:v>110</x:v>
      </x:c>
      <x:c r="K6" s="31" t="s">
        <x:v>462</x:v>
      </x:c>
      <x:c r="L6" s="11" t="s">
        <x:v>463</x:v>
      </x:c>
      <x:c r="M6" s="11" t="s">
        <x:v>464</x:v>
      </x:c>
    </x:row>
    <x:row r="7" ht="17.149999618530273" hidden="0">
      <x:c r="A7" s="9" t="n">
        <x:v>9004</x:v>
      </x:c>
      <x:c r="B7" s="21" t="s">
        <x:v>465</x:v>
      </x:c>
      <x:c r="C7" s="26" t="s">
        <x:v>453</x:v>
      </x:c>
      <x:c r="D7" s="19" t="n">
        <x:v>4</x:v>
      </x:c>
      <x:c r="E7" s="26" t="s">
        <x:v>127</x:v>
      </x:c>
      <x:c r="F7" s="27" t="n">
        <x:v>900</x:v>
      </x:c>
      <x:c r="G7" s="27" t="n">
        <x:v>0</x:v>
      </x:c>
      <x:c r="H7" s="27" t="n">
        <x:v>110</x:v>
      </x:c>
      <x:c r="I7" s="27" t="n">
        <x:v>100</x:v>
      </x:c>
      <x:c r="J7" s="27" t="n">
        <x:v>450</x:v>
      </x:c>
      <x:c r="K7" s="31" t="s">
        <x:v>466</x:v>
      </x:c>
      <x:c r="L7" s="11" t="s">
        <x:v>467</x:v>
      </x:c>
      <x:c r="M7" s="11" t="s">
        <x:v>468</x:v>
      </x:c>
    </x:row>
    <x:row r="8" ht="17.149999618530273" hidden="0">
      <x:c r="A8" s="9" t="n">
        <x:v>9005</x:v>
      </x:c>
      <x:c r="B8" s="21" t="s">
        <x:v>469</x:v>
      </x:c>
      <x:c r="C8" s="26" t="s">
        <x:v>453</x:v>
      </x:c>
      <x:c r="D8" s="19" t="n">
        <x:v>5</x:v>
      </x:c>
      <x:c r="E8" s="26" t="s">
        <x:v>127</x:v>
      </x:c>
      <x:c r="F8" s="27" t="n">
        <x:v>1200</x:v>
      </x:c>
      <x:c r="G8" s="27" t="n">
        <x:v>0</x:v>
      </x:c>
      <x:c r="H8" s="27" t="n">
        <x:v>150</x:v>
      </x:c>
      <x:c r="I8" s="27" t="n">
        <x:v>130</x:v>
      </x:c>
      <x:c r="J8" s="27" t="n">
        <x:v>700</x:v>
      </x:c>
      <x:c r="K8" s="31" t="s">
        <x:v>470</x:v>
      </x:c>
      <x:c r="L8" s="11" t="s">
        <x:v>467</x:v>
      </x:c>
      <x:c r="M8" s="11" t="s">
        <x:v>471</x:v>
      </x:c>
    </x:row>
    <x:row r="9" ht="17.149999618530273" hidden="0">
      <x:c r="A9" s="9" t="n">
        <x:v>9006</x:v>
      </x:c>
      <x:c r="B9" s="21" t="s">
        <x:v>472</x:v>
      </x:c>
      <x:c r="C9" s="26" t="s">
        <x:v>453</x:v>
      </x:c>
      <x:c r="D9" s="19" t="n">
        <x:v>6</x:v>
      </x:c>
      <x:c r="E9" s="26" t="s">
        <x:v>127</x:v>
      </x:c>
      <x:c r="F9" s="27" t="n">
        <x:v>1500</x:v>
      </x:c>
      <x:c r="G9" s="27" t="n">
        <x:v>100</x:v>
      </x:c>
      <x:c r="H9" s="27" t="n">
        <x:v>200</x:v>
      </x:c>
      <x:c r="I9" s="27" t="n">
        <x:v>170</x:v>
      </x:c>
      <x:c r="J9" s="27" t="n">
        <x:v>1050</x:v>
      </x:c>
      <x:c r="K9" s="31" t="s">
        <x:v>473</x:v>
      </x:c>
      <x:c r="L9" s="11" t="s">
        <x:v>467</x:v>
      </x:c>
      <x:c r="M9" s="11" t="s">
        <x:v>474</x:v>
      </x:c>
    </x:row>
    <x:row r="10" ht="17.149999618530273" hidden="0">
      <x:c r="A10" s="9" t="n">
        <x:v>9101</x:v>
      </x:c>
      <x:c r="B10" s="21" t="s">
        <x:v>475</x:v>
      </x:c>
      <x:c r="C10" s="26" t="s">
        <x:v>476</x:v>
      </x:c>
      <x:c r="D10" s="19" t="n">
        <x:v>10</x:v>
      </x:c>
      <x:c r="E10" s="26" t="s">
        <x:v>129</x:v>
      </x:c>
      <x:c r="F10" s="27" t="n">
        <x:v>2250</x:v>
      </x:c>
      <x:c r="G10" s="27" t="n">
        <x:v>720</x:v>
      </x:c>
      <x:c r="H10" s="27" t="n">
        <x:v>305</x:v>
      </x:c>
      <x:c r="I10" s="27" t="n">
        <x:v>280</x:v>
      </x:c>
      <x:c r="J10" s="27" t="n">
        <x:v>2300</x:v>
      </x:c>
      <x:c r="K10" s="31" t="s">
        <x:v>477</x:v>
      </x:c>
      <x:c r="L10" s="11" t="s">
        <x:v>478</x:v>
      </x:c>
      <x:c r="M10" s="11" t="s">
        <x:v>476</x:v>
      </x:c>
    </x:row>
    <x:row r="11" ht="17.149999618530273" hidden="0">
      <x:c r="A11" s="9" t="n">
        <x:v>9102</x:v>
      </x:c>
      <x:c r="B11" s="21" t="s">
        <x:v>479</x:v>
      </x:c>
      <x:c r="C11" s="26" t="s">
        <x:v>476</x:v>
      </x:c>
      <x:c r="D11" s="19" t="n">
        <x:v>11</x:v>
      </x:c>
      <x:c r="E11" s="26" t="s">
        <x:v>129</x:v>
      </x:c>
      <x:c r="F11" s="27" t="n">
        <x:v>3000</x:v>
      </x:c>
      <x:c r="G11" s="27" t="n">
        <x:v>950</x:v>
      </x:c>
      <x:c r="H11" s="27" t="n">
        <x:v>360</x:v>
      </x:c>
      <x:c r="I11" s="27" t="n">
        <x:v>350</x:v>
      </x:c>
      <x:c r="J11" s="27" t="n">
        <x:v>3400</x:v>
      </x:c>
      <x:c r="K11" s="31" t="s">
        <x:v>480</x:v>
      </x:c>
      <x:c r="L11" s="11" t="s">
        <x:v>478</x:v>
      </x:c>
      <x:c r="M11" s="11" t="s">
        <x:v>476</x:v>
      </x:c>
    </x:row>
    <x:row r="12" ht="17.149999618530273" hidden="0">
      <x:c r="A12" s="9" t="n">
        <x:v>9103</x:v>
      </x:c>
      <x:c r="B12" s="21" t="s">
        <x:v>481</x:v>
      </x:c>
      <x:c r="C12" s="26" t="s">
        <x:v>476</x:v>
      </x:c>
      <x:c r="D12" s="19" t="n">
        <x:v>12</x:v>
      </x:c>
      <x:c r="E12" s="26" t="s">
        <x:v>129</x:v>
      </x:c>
      <x:c r="F12" s="27" t="n">
        <x:v>3900</x:v>
      </x:c>
      <x:c r="G12" s="27" t="n">
        <x:v>1230</x:v>
      </x:c>
      <x:c r="H12" s="27" t="n">
        <x:v>470</x:v>
      </x:c>
      <x:c r="I12" s="27" t="n">
        <x:v>458</x:v>
      </x:c>
      <x:c r="J12" s="27" t="n">
        <x:v>5000</x:v>
      </x:c>
      <x:c r="K12" s="31" t="s">
        <x:v>482</x:v>
      </x:c>
      <x:c r="L12" s="11" t="s">
        <x:v>478</x:v>
      </x:c>
      <x:c r="M12" s="11" t="s">
        <x:v>476</x:v>
      </x:c>
    </x:row>
    <x:row r="13" ht="17.149999618530273" hidden="0">
      <x:c r="A13" s="9" t="n">
        <x:v>9201</x:v>
      </x:c>
      <x:c r="B13" s="21" t="s">
        <x:v>483</x:v>
      </x:c>
      <x:c r="C13" s="26" t="s">
        <x:v>484</x:v>
      </x:c>
      <x:c r="D13" s="19" t="n">
        <x:v>12</x:v>
      </x:c>
      <x:c r="E13" s="26" t="s">
        <x:v>129</x:v>
      </x:c>
      <x:c r="F13" s="27" t="n">
        <x:v>3900</x:v>
      </x:c>
      <x:c r="G13" s="27" t="n">
        <x:v>1230</x:v>
      </x:c>
      <x:c r="H13" s="27" t="n">
        <x:v>480</x:v>
      </x:c>
      <x:c r="I13" s="27" t="n">
        <x:v>460</x:v>
      </x:c>
      <x:c r="J13" s="27" t="n">
        <x:v>5000</x:v>
      </x:c>
      <x:c r="K13" s="31" t="s">
        <x:v>485</x:v>
      </x:c>
      <x:c r="L13" s="11" t="s">
        <x:v>486</x:v>
      </x:c>
      <x:c r="M13" s="11" t="s">
        <x:v>487</x:v>
      </x:c>
    </x:row>
    <x:row r="14" ht="17.149999618530273" hidden="0">
      <x:c r="A14" s="9" t="n">
        <x:v>9202</x:v>
      </x:c>
      <x:c r="B14" s="21" t="s">
        <x:v>488</x:v>
      </x:c>
      <x:c r="C14" s="26" t="s">
        <x:v>484</x:v>
      </x:c>
      <x:c r="D14" s="19" t="n">
        <x:v>13</x:v>
      </x:c>
      <x:c r="E14" s="26" t="s">
        <x:v>129</x:v>
      </x:c>
      <x:c r="F14" s="27" t="n">
        <x:v>5000</x:v>
      </x:c>
      <x:c r="G14" s="27" t="n">
        <x:v>1580</x:v>
      </x:c>
      <x:c r="H14" s="27" t="n">
        <x:v>610</x:v>
      </x:c>
      <x:c r="I14" s="27" t="n">
        <x:v>595</x:v>
      </x:c>
      <x:c r="J14" s="27" t="n">
        <x:v>7300</x:v>
      </x:c>
      <x:c r="K14" s="31" t="s">
        <x:v>489</x:v>
      </x:c>
      <x:c r="L14" s="11" t="s">
        <x:v>486</x:v>
      </x:c>
      <x:c r="M14" s="11" t="s">
        <x:v>487</x:v>
      </x:c>
    </x:row>
    <x:row r="15" ht="32.79999923706055" hidden="0">
      <x:c r="A15" s="9" t="n">
        <x:v>9203</x:v>
      </x:c>
      <x:c r="B15" s="21" t="s">
        <x:v>490</x:v>
      </x:c>
      <x:c r="C15" s="26" t="s">
        <x:v>484</x:v>
      </x:c>
      <x:c r="D15" s="19" t="n">
        <x:v>14</x:v>
      </x:c>
      <x:c r="E15" s="26" t="s">
        <x:v>129</x:v>
      </x:c>
      <x:c r="F15" s="27" t="n">
        <x:v>6400</x:v>
      </x:c>
      <x:c r="G15" s="27" t="n">
        <x:v>2010</x:v>
      </x:c>
      <x:c r="H15" s="27" t="n">
        <x:v>785</x:v>
      </x:c>
      <x:c r="I15" s="27" t="n">
        <x:v>765</x:v>
      </x:c>
      <x:c r="J15" s="27" t="n">
        <x:v>10500</x:v>
      </x:c>
      <x:c r="K15" s="31" t="s">
        <x:v>491</x:v>
      </x:c>
      <x:c r="L15" s="11" t="s">
        <x:v>486</x:v>
      </x:c>
      <x:c r="M15" s="11" t="s">
        <x:v>487</x:v>
      </x:c>
    </x:row>
    <x:row r="16" ht="32.79999923706055" hidden="0">
      <x:c r="A16" s="9" t="n">
        <x:v>9301</x:v>
      </x:c>
      <x:c r="B16" s="21" t="s">
        <x:v>492</x:v>
      </x:c>
      <x:c r="C16" s="26" t="s">
        <x:v>493</x:v>
      </x:c>
      <x:c r="D16" s="19" t="n">
        <x:v>16</x:v>
      </x:c>
      <x:c r="E16" s="26" t="s">
        <x:v>131</x:v>
      </x:c>
      <x:c r="F16" s="27" t="n">
        <x:v>22000</x:v>
      </x:c>
      <x:c r="G16" s="27" t="n">
        <x:v>3400</x:v>
      </x:c>
      <x:c r="H16" s="27" t="n">
        <x:v>2000</x:v>
      </x:c>
      <x:c r="I16" s="27" t="n">
        <x:v>2000</x:v>
      </x:c>
      <x:c r="J16" s="27" t="n">
        <x:v>40000</x:v>
      </x:c>
      <x:c r="K16" s="31" t="s">
        <x:v>494</x:v>
      </x:c>
      <x:c r="L16" s="11" t="s">
        <x:v>495</x:v>
      </x:c>
      <x:c r="M16" s="11" t="s">
        <x:v>496</x:v>
      </x:c>
    </x:row>
    <x:row r="17" ht="32.79999923706055" hidden="0">
      <x:c r="A17" s="9" t="n">
        <x:v>9302</x:v>
      </x:c>
      <x:c r="B17" s="21" t="s">
        <x:v>497</x:v>
      </x:c>
      <x:c r="C17" s="26" t="s">
        <x:v>493</x:v>
      </x:c>
      <x:c r="D17" s="19" t="n">
        <x:v>17</x:v>
      </x:c>
      <x:c r="E17" s="26" t="s">
        <x:v>131</x:v>
      </x:c>
      <x:c r="F17" s="27" t="n">
        <x:v>30000</x:v>
      </x:c>
      <x:c r="G17" s="27" t="n">
        <x:v>4300</x:v>
      </x:c>
      <x:c r="H17" s="27" t="n">
        <x:v>2600</x:v>
      </x:c>
      <x:c r="I17" s="27" t="n">
        <x:v>2600</x:v>
      </x:c>
      <x:c r="J17" s="27" t="n">
        <x:v>60000</x:v>
      </x:c>
      <x:c r="K17" s="31" t="s">
        <x:v>498</x:v>
      </x:c>
      <x:c r="L17" s="11" t="s">
        <x:v>495</x:v>
      </x:c>
      <x:c r="M17" s="11" t="s">
        <x:v>496</x:v>
      </x:c>
    </x:row>
    <x:row r="18" ht="32.79999923706055" hidden="0">
      <x:c r="A18" s="9" t="n">
        <x:v>9303</x:v>
      </x:c>
      <x:c r="B18" s="21" t="s">
        <x:v>499</x:v>
      </x:c>
      <x:c r="C18" s="26" t="s">
        <x:v>493</x:v>
      </x:c>
      <x:c r="D18" s="19" t="n">
        <x:v>18</x:v>
      </x:c>
      <x:c r="E18" s="26" t="s">
        <x:v>131</x:v>
      </x:c>
      <x:c r="F18" s="27" t="n">
        <x:v>38000</x:v>
      </x:c>
      <x:c r="G18" s="27" t="n">
        <x:v>5350</x:v>
      </x:c>
      <x:c r="H18" s="27" t="n">
        <x:v>3300</x:v>
      </x:c>
      <x:c r="I18" s="27" t="n">
        <x:v>3300</x:v>
      </x:c>
      <x:c r="J18" s="27" t="n">
        <x:v>90000</x:v>
      </x:c>
      <x:c r="K18" s="31" t="s">
        <x:v>500</x:v>
      </x:c>
      <x:c r="L18" s="11" t="s">
        <x:v>495</x:v>
      </x:c>
      <x:c r="M18" s="11" t="s">
        <x:v>496</x:v>
      </x:c>
    </x:row>
    <x:row r="19" ht="32.79999923706055" hidden="0">
      <x:c r="A19" s="9" t="n">
        <x:v>9304</x:v>
      </x:c>
      <x:c r="B19" s="21" t="s">
        <x:v>501</x:v>
      </x:c>
      <x:c r="C19" s="26" t="s">
        <x:v>493</x:v>
      </x:c>
      <x:c r="D19" s="19" t="n">
        <x:v>19</x:v>
      </x:c>
      <x:c r="E19" s="26" t="s">
        <x:v>131</x:v>
      </x:c>
      <x:c r="F19" s="27" t="n">
        <x:v>48000</x:v>
      </x:c>
      <x:c r="G19" s="27" t="n">
        <x:v>6550</x:v>
      </x:c>
      <x:c r="H19" s="27" t="n">
        <x:v>4200</x:v>
      </x:c>
      <x:c r="I19" s="27" t="n">
        <x:v>4200</x:v>
      </x:c>
      <x:c r="J19" s="27" t="n">
        <x:v>130000</x:v>
      </x:c>
      <x:c r="K19" s="31" t="s">
        <x:v>502</x:v>
      </x:c>
      <x:c r="L19" s="11" t="s">
        <x:v>495</x:v>
      </x:c>
      <x:c r="M19" s="11" t="s">
        <x:v>496</x:v>
      </x:c>
    </x:row>
    <x:row r="20" ht="48.5" hidden="0">
      <x:c r="A20" s="9" t="n">
        <x:v>9305</x:v>
      </x:c>
      <x:c r="B20" s="21" t="s">
        <x:v>503</x:v>
      </x:c>
      <x:c r="C20" s="26" t="s">
        <x:v>493</x:v>
      </x:c>
      <x:c r="D20" s="19" t="n">
        <x:v>20</x:v>
      </x:c>
      <x:c r="E20" s="26" t="s">
        <x:v>131</x:v>
      </x:c>
      <x:c r="F20" s="27" t="n">
        <x:v>80000</x:v>
      </x:c>
      <x:c r="G20" s="27" t="n">
        <x:v>7900</x:v>
      </x:c>
      <x:c r="H20" s="27" t="n">
        <x:v>5500</x:v>
      </x:c>
      <x:c r="I20" s="27" t="n">
        <x:v>5000</x:v>
      </x:c>
      <x:c r="J20" s="27" t="n">
        <x:v>250000</x:v>
      </x:c>
      <x:c r="K20" s="31" t="s">
        <x:v>504</x:v>
      </x:c>
      <x:c r="L20" s="11" t="s">
        <x:v>495</x:v>
      </x:c>
      <x:c r="M20" s="11" t="s">
        <x:v>505</x:v>
      </x:c>
    </x:row>
    <x:row r="22" ht="17.149999618530273" hidden="0" customHeight="1">
      <x:c r="A22" s="28" t="s">
        <x:v>506</x:v>
      </x:c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</x:row>
  </x:sheetData>
  <x:mergeCells>
    <x:mergeCell ref="A22:M2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8" hidden="0" customWidth="1"/>
    <x:col min="2" max="2" width="16" hidden="0" customWidth="1"/>
    <x:col min="3" max="3" width="12" hidden="0" customWidth="1"/>
    <x:col min="4" max="4" width="10" hidden="0" customWidth="1"/>
    <x:col min="5" max="5" width="12" hidden="0" customWidth="1"/>
    <x:col min="6" max="6" width="14" hidden="0" customWidth="1"/>
    <x:col min="7" max="7" width="12" hidden="0" customWidth="1"/>
    <x:col min="8" max="8" width="14" hidden="0" customWidth="1"/>
    <x:col min="9" max="9" width="16" hidden="0" customWidth="1"/>
    <x:col min="10" max="10" width="30" hidden="0" customWidth="1"/>
    <x:col min="11" max="11" width="22" hidden="0" customWidth="1"/>
  </x:cols>
  <x:sheetData>
    <x:row r="1" ht="21.600000381469727" hidden="0">
      <x:c r="A1" s="1" t="s">
        <x:v>507</x:v>
      </x:c>
    </x:row>
    <x:row r="3" ht="17.149999618530273" hidden="0">
      <x:c r="A3" s="24" t="s">
        <x:v>508</x:v>
      </x:c>
      <x:c r="B3" s="7" t="s">
        <x:v>150</x:v>
      </x:c>
      <x:c r="C3" s="7" t="s">
        <x:v>509</x:v>
      </x:c>
      <x:c r="D3" s="7" t="s">
        <x:v>510</x:v>
      </x:c>
      <x:c r="E3" s="7" t="s">
        <x:v>511</x:v>
      </x:c>
      <x:c r="F3" s="7" t="s">
        <x:v>512</x:v>
      </x:c>
      <x:c r="G3" s="7" t="s">
        <x:v>513</x:v>
      </x:c>
      <x:c r="H3" s="7" t="s">
        <x:v>514</x:v>
      </x:c>
      <x:c r="I3" s="7" t="s">
        <x:v>515</x:v>
      </x:c>
      <x:c r="J3" s="7" t="s">
        <x:v>516</x:v>
      </x:c>
      <x:c r="K3" s="7" t="s">
        <x:v>54</x:v>
      </x:c>
    </x:row>
    <x:row r="4" ht="32.79999923706055" hidden="0">
      <x:c r="A4" s="9" t="n">
        <x:v>1</x:v>
      </x:c>
      <x:c r="B4" s="21" t="s">
        <x:v>517</x:v>
      </x:c>
      <x:c r="C4" s="21" t="s">
        <x:v>518</x:v>
      </x:c>
      <x:c r="D4" s="26" t="s">
        <x:v>519</x:v>
      </x:c>
      <x:c r="E4" s="19" t="s">
        <x:v>81</x:v>
      </x:c>
      <x:c r="F4" s="31" t="s">
        <x:v>81</x:v>
      </x:c>
      <x:c r="G4" s="19" t="s">
        <x:v>520</x:v>
      </x:c>
      <x:c r="H4" s="31" t="s">
        <x:v>521</x:v>
      </x:c>
      <x:c r="I4" s="31" t="s">
        <x:v>81</x:v>
      </x:c>
      <x:c r="J4" s="11" t="s">
        <x:v>522</x:v>
      </x:c>
      <x:c r="K4" s="11" t="s">
        <x:v>523</x:v>
      </x:c>
    </x:row>
    <x:row r="5" ht="32.79999923706055" hidden="0">
      <x:c r="A5" s="9" t="n">
        <x:v>2</x:v>
      </x:c>
      <x:c r="B5" s="21" t="s">
        <x:v>467</x:v>
      </x:c>
      <x:c r="C5" s="21" t="s">
        <x:v>524</x:v>
      </x:c>
      <x:c r="D5" s="26" t="s">
        <x:v>525</x:v>
      </x:c>
      <x:c r="E5" s="19" t="s">
        <x:v>81</x:v>
      </x:c>
      <x:c r="F5" s="31" t="s">
        <x:v>81</x:v>
      </x:c>
      <x:c r="G5" s="19" t="s">
        <x:v>526</x:v>
      </x:c>
      <x:c r="H5" s="31" t="s">
        <x:v>527</x:v>
      </x:c>
      <x:c r="I5" s="31" t="s">
        <x:v>528</x:v>
      </x:c>
      <x:c r="J5" s="30" t="s">
        <x:v>81</x:v>
      </x:c>
      <x:c r="K5" s="11" t="s">
        <x:v>529</x:v>
      </x:c>
    </x:row>
    <x:row r="6" ht="48.5" hidden="0">
      <x:c r="A6" s="9" t="n">
        <x:v>3</x:v>
      </x:c>
      <x:c r="B6" s="21" t="s">
        <x:v>530</x:v>
      </x:c>
      <x:c r="C6" s="21" t="s">
        <x:v>531</x:v>
      </x:c>
      <x:c r="D6" s="19" t="s">
        <x:v>532</x:v>
      </x:c>
      <x:c r="E6" s="26" t="s">
        <x:v>533</x:v>
      </x:c>
      <x:c r="F6" s="31" t="s">
        <x:v>534</x:v>
      </x:c>
      <x:c r="G6" s="26" t="s">
        <x:v>535</x:v>
      </x:c>
      <x:c r="H6" s="31" t="s">
        <x:v>536</x:v>
      </x:c>
      <x:c r="I6" s="31" t="s">
        <x:v>81</x:v>
      </x:c>
      <x:c r="J6" s="30" t="s">
        <x:v>537</x:v>
      </x:c>
      <x:c r="K6" s="11" t="s">
        <x:v>538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9" hidden="0" customWidth="1"/>
    <x:col min="2" max="2" width="7" hidden="0" customWidth="1"/>
    <x:col min="3" max="3" width="12" hidden="0" customWidth="1"/>
    <x:col min="4" max="4" width="14" hidden="0" customWidth="1"/>
    <x:col min="5" max="5" width="30" hidden="0" customWidth="1"/>
    <x:col min="6" max="7" width="9" hidden="0" customWidth="1"/>
    <x:col min="8" max="10" width="10" hidden="0" customWidth="1"/>
    <x:col min="11" max="11" width="8" hidden="0" customWidth="1"/>
    <x:col min="12" max="12" width="30" hidden="0" customWidth="1"/>
  </x:cols>
  <x:sheetData>
    <x:row r="1" ht="21.600000381469727" hidden="0">
      <x:c r="A1" s="1" t="s">
        <x:v>539</x:v>
      </x:c>
    </x:row>
    <x:row r="2" ht="32.79999923706055" hidden="0" customHeight="1">
      <x:c r="A2" s="17" t="s">
        <x:v>540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3" ht="17.149999618530273" hidden="0">
      <x:c r="A3" s="24" t="s">
        <x:v>541</x:v>
      </x:c>
      <x:c r="B3" s="7" t="s">
        <x:v>542</x:v>
      </x:c>
      <x:c r="C3" s="7" t="s">
        <x:v>543</x:v>
      </x:c>
      <x:c r="D3" s="7" t="s">
        <x:v>385</x:v>
      </x:c>
      <x:c r="E3" s="7" t="s">
        <x:v>544</x:v>
      </x:c>
      <x:c r="F3" s="7" t="s">
        <x:v>545</x:v>
      </x:c>
      <x:c r="G3" s="7" t="s">
        <x:v>546</x:v>
      </x:c>
      <x:c r="H3" s="7" t="s">
        <x:v>547</x:v>
      </x:c>
      <x:c r="I3" s="7" t="s">
        <x:v>548</x:v>
      </x:c>
      <x:c r="J3" s="7" t="s">
        <x:v>549</x:v>
      </x:c>
      <x:c r="K3" s="7" t="s">
        <x:v>550</x:v>
      </x:c>
      <x:c r="L3" s="7" t="s">
        <x:v>54</x:v>
      </x:c>
    </x:row>
    <x:row r="4" ht="17.149999618530273" hidden="0">
      <x:c r="A4" s="9" t="n">
        <x:v>1</x:v>
      </x:c>
      <x:c r="B4" s="19" t="s">
        <x:v>551</x:v>
      </x:c>
      <x:c r="C4" s="21" t="s">
        <x:v>552</x:v>
      </x:c>
      <x:c r="D4" s="26" t="s">
        <x:v>553</x:v>
      </x:c>
      <x:c r="E4" s="31" t="s">
        <x:v>554</x:v>
      </x:c>
      <x:c r="F4" s="19" t="n">
        <x:v>3</x:v>
      </x:c>
      <x:c r="G4" s="19" t="n">
        <x:v>1.2</x:v>
      </x:c>
      <x:c r="H4" s="19" t="n">
        <x:v>20</x:v>
      </x:c>
      <x:c r="I4" s="23" t="n">
        <x:v>0</x:v>
      </x:c>
      <x:c r="J4" s="26" t="s">
        <x:v>124</x:v>
      </x:c>
      <x:c r="K4" s="26" t="s">
        <x:v>124</x:v>
      </x:c>
      <x:c r="L4" s="11" t="s">
        <x:v>555</x:v>
      </x:c>
    </x:row>
    <x:row r="5" ht="17.149999618530273" hidden="0">
      <x:c r="A5" s="9" t="n">
        <x:v>2</x:v>
      </x:c>
      <x:c r="B5" s="19" t="s">
        <x:v>556</x:v>
      </x:c>
      <x:c r="C5" s="21" t="s">
        <x:v>557</x:v>
      </x:c>
      <x:c r="D5" s="26" t="s">
        <x:v>558</x:v>
      </x:c>
      <x:c r="E5" s="31" t="s">
        <x:v>559</x:v>
      </x:c>
      <x:c r="F5" s="19" t="n">
        <x:v>2</x:v>
      </x:c>
      <x:c r="G5" s="19" t="n">
        <x:v>1.1</x:v>
      </x:c>
      <x:c r="H5" s="19" t="n">
        <x:v>15</x:v>
      </x:c>
      <x:c r="I5" s="23" t="n">
        <x:v>0</x:v>
      </x:c>
      <x:c r="J5" s="26" t="s">
        <x:v>124</x:v>
      </x:c>
      <x:c r="K5" s="26" t="s">
        <x:v>124</x:v>
      </x:c>
      <x:c r="L5" s="11" t="s">
        <x:v>560</x:v>
      </x:c>
    </x:row>
    <x:row r="6" ht="17.149999618530273" hidden="0">
      <x:c r="A6" s="9" t="n">
        <x:v>3</x:v>
      </x:c>
      <x:c r="B6" s="19" t="s">
        <x:v>561</x:v>
      </x:c>
      <x:c r="C6" s="21" t="s">
        <x:v>562</x:v>
      </x:c>
      <x:c r="D6" s="26" t="s">
        <x:v>558</x:v>
      </x:c>
      <x:c r="E6" s="31" t="s">
        <x:v>563</x:v>
      </x:c>
      <x:c r="F6" s="19" t="n">
        <x:v>4</x:v>
      </x:c>
      <x:c r="G6" s="19" t="n">
        <x:v>1.5</x:v>
      </x:c>
      <x:c r="H6" s="19" t="n">
        <x:v>30</x:v>
      </x:c>
      <x:c r="I6" s="23" t="n">
        <x:v>0.03</x:v>
      </x:c>
      <x:c r="J6" s="26" t="s">
        <x:v>124</x:v>
      </x:c>
      <x:c r="K6" s="26" t="s">
        <x:v>124</x:v>
      </x:c>
      <x:c r="L6" s="11" t="s">
        <x:v>564</x:v>
      </x:c>
    </x:row>
    <x:row r="7" ht="17.149999618530273" hidden="0">
      <x:c r="A7" s="9" t="n">
        <x:v>4</x:v>
      </x:c>
      <x:c r="B7" s="19" t="s">
        <x:v>565</x:v>
      </x:c>
      <x:c r="C7" s="21" t="s">
        <x:v>566</x:v>
      </x:c>
      <x:c r="D7" s="26" t="s">
        <x:v>567</x:v>
      </x:c>
      <x:c r="E7" s="31" t="s">
        <x:v>568</x:v>
      </x:c>
      <x:c r="F7" s="19" t="n">
        <x:v>5</x:v>
      </x:c>
      <x:c r="G7" s="19" t="n">
        <x:v>2</x:v>
      </x:c>
      <x:c r="H7" s="19" t="n">
        <x:v>40</x:v>
      </x:c>
      <x:c r="I7" s="23" t="n">
        <x:v>0.05</x:v>
      </x:c>
      <x:c r="J7" s="32" t="s">
        <x:v>126</x:v>
      </x:c>
      <x:c r="K7" s="26" t="s">
        <x:v>124</x:v>
      </x:c>
      <x:c r="L7" s="11" t="s">
        <x:v>569</x:v>
      </x:c>
    </x:row>
    <x:row r="8" ht="26.850000381469727" hidden="0">
      <x:c r="A8" s="9" t="n">
        <x:v>5</x:v>
      </x:c>
      <x:c r="B8" s="19" t="s">
        <x:v>570</x:v>
      </x:c>
      <x:c r="C8" s="21" t="s">
        <x:v>571</x:v>
      </x:c>
      <x:c r="D8" s="26" t="s">
        <x:v>572</x:v>
      </x:c>
      <x:c r="E8" s="31" t="s">
        <x:v>573</x:v>
      </x:c>
      <x:c r="F8" s="19" t="n">
        <x:v>5</x:v>
      </x:c>
      <x:c r="G8" s="19" t="n">
        <x:v>2</x:v>
      </x:c>
      <x:c r="H8" s="19" t="n">
        <x:v>50</x:v>
      </x:c>
      <x:c r="I8" s="23" t="n">
        <x:v>0.08</x:v>
      </x:c>
      <x:c r="J8" s="32" t="s">
        <x:v>126</x:v>
      </x:c>
      <x:c r="K8" s="26" t="s">
        <x:v>124</x:v>
      </x:c>
      <x:c r="L8" s="11" t="s">
        <x:v>574</x:v>
      </x:c>
    </x:row>
    <x:row r="9" ht="17.149999618530273" hidden="0">
      <x:c r="A9" s="9" t="n">
        <x:v>6</x:v>
      </x:c>
      <x:c r="B9" s="19" t="s">
        <x:v>575</x:v>
      </x:c>
      <x:c r="C9" s="21" t="s">
        <x:v>576</x:v>
      </x:c>
      <x:c r="D9" s="26" t="s">
        <x:v>577</x:v>
      </x:c>
      <x:c r="E9" s="31" t="s">
        <x:v>578</x:v>
      </x:c>
      <x:c r="F9" s="19" t="n">
        <x:v>1</x:v>
      </x:c>
      <x:c r="G9" s="19" t="n">
        <x:v>1</x:v>
      </x:c>
      <x:c r="H9" s="19" t="n">
        <x:v>10</x:v>
      </x:c>
      <x:c r="I9" s="23" t="n">
        <x:v>0</x:v>
      </x:c>
      <x:c r="J9" s="26" t="s">
        <x:v>124</x:v>
      </x:c>
      <x:c r="K9" s="26" t="s">
        <x:v>124</x:v>
      </x:c>
      <x:c r="L9" s="11" t="s">
        <x:v>579</x:v>
      </x:c>
    </x:row>
    <x:row r="10" ht="17.149999618530273" hidden="0">
      <x:c r="A10" s="9" t="n">
        <x:v>7</x:v>
      </x:c>
      <x:c r="B10" s="19" t="s">
        <x:v>580</x:v>
      </x:c>
      <x:c r="C10" s="21" t="s">
        <x:v>581</x:v>
      </x:c>
      <x:c r="D10" s="26" t="s">
        <x:v>577</x:v>
      </x:c>
      <x:c r="E10" s="31" t="s">
        <x:v>582</x:v>
      </x:c>
      <x:c r="F10" s="19" t="n">
        <x:v>1</x:v>
      </x:c>
      <x:c r="G10" s="19" t="n">
        <x:v>1</x:v>
      </x:c>
      <x:c r="H10" s="19" t="n">
        <x:v>10</x:v>
      </x:c>
      <x:c r="I10" s="23" t="n">
        <x:v>0</x:v>
      </x:c>
      <x:c r="J10" s="26" t="s">
        <x:v>124</x:v>
      </x:c>
      <x:c r="K10" s="26" t="s">
        <x:v>124</x:v>
      </x:c>
      <x:c r="L10" s="11" t="s">
        <x:v>583</x:v>
      </x:c>
    </x:row>
    <x:row r="11" ht="17.149999618530273" hidden="0">
      <x:c r="A11" s="9" t="n">
        <x:v>8</x:v>
      </x:c>
      <x:c r="B11" s="19" t="s">
        <x:v>584</x:v>
      </x:c>
      <x:c r="C11" s="21" t="s">
        <x:v>585</x:v>
      </x:c>
      <x:c r="D11" s="26" t="s">
        <x:v>558</x:v>
      </x:c>
      <x:c r="E11" s="31" t="s">
        <x:v>586</x:v>
      </x:c>
      <x:c r="F11" s="19" t="n">
        <x:v>3</x:v>
      </x:c>
      <x:c r="G11" s="19" t="n">
        <x:v>1.3</x:v>
      </x:c>
      <x:c r="H11" s="19" t="n">
        <x:v>22</x:v>
      </x:c>
      <x:c r="I11" s="23" t="n">
        <x:v>0.02</x:v>
      </x:c>
      <x:c r="J11" s="32" t="s">
        <x:v>126</x:v>
      </x:c>
      <x:c r="K11" s="26" t="s">
        <x:v>124</x:v>
      </x:c>
      <x:c r="L11" s="11" t="s">
        <x:v>587</x:v>
      </x:c>
    </x:row>
    <x:row r="12" ht="17.149999618530273" hidden="0">
      <x:c r="A12" s="9" t="n">
        <x:v>9</x:v>
      </x:c>
      <x:c r="B12" s="19" t="s">
        <x:v>588</x:v>
      </x:c>
      <x:c r="C12" s="21" t="s">
        <x:v>589</x:v>
      </x:c>
      <x:c r="D12" s="26" t="s">
        <x:v>590</x:v>
      </x:c>
      <x:c r="E12" s="31" t="s">
        <x:v>591</x:v>
      </x:c>
      <x:c r="F12" s="19" t="n">
        <x:v>2</x:v>
      </x:c>
      <x:c r="G12" s="19" t="n">
        <x:v>1.1</x:v>
      </x:c>
      <x:c r="H12" s="19" t="n">
        <x:v>15</x:v>
      </x:c>
      <x:c r="I12" s="23" t="n">
        <x:v>0</x:v>
      </x:c>
      <x:c r="J12" s="26" t="s">
        <x:v>124</x:v>
      </x:c>
      <x:c r="K12" s="26" t="s">
        <x:v>124</x:v>
      </x:c>
      <x:c r="L12" s="11" t="s">
        <x:v>592</x:v>
      </x:c>
    </x:row>
    <x:row r="13" ht="17.149999618530273" hidden="0">
      <x:c r="A13" s="9" t="n">
        <x:v>10</x:v>
      </x:c>
      <x:c r="B13" s="19" t="s">
        <x:v>593</x:v>
      </x:c>
      <x:c r="C13" s="21" t="s">
        <x:v>594</x:v>
      </x:c>
      <x:c r="D13" s="26" t="s">
        <x:v>558</x:v>
      </x:c>
      <x:c r="E13" s="31" t="s">
        <x:v>595</x:v>
      </x:c>
      <x:c r="F13" s="19" t="n">
        <x:v>4</x:v>
      </x:c>
      <x:c r="G13" s="19" t="n">
        <x:v>1.5</x:v>
      </x:c>
      <x:c r="H13" s="19" t="n">
        <x:v>30</x:v>
      </x:c>
      <x:c r="I13" s="23" t="n">
        <x:v>0.03</x:v>
      </x:c>
      <x:c r="J13" s="32" t="s">
        <x:v>126</x:v>
      </x:c>
      <x:c r="K13" s="26" t="s">
        <x:v>124</x:v>
      </x:c>
      <x:c r="L13" s="11" t="s">
        <x:v>596</x:v>
      </x:c>
    </x:row>
    <x:row r="14" ht="32.79999923706055" hidden="0">
      <x:c r="A14" s="9" t="n">
        <x:v>11</x:v>
      </x:c>
      <x:c r="B14" s="19" t="s">
        <x:v>597</x:v>
      </x:c>
      <x:c r="C14" s="21" t="s">
        <x:v>598</x:v>
      </x:c>
      <x:c r="D14" s="26" t="s">
        <x:v>599</x:v>
      </x:c>
      <x:c r="E14" s="31"/>
      <x:c r="F14" s="19" t="n">
        <x:v>3</x:v>
      </x:c>
      <x:c r="G14" s="19" t="n">
        <x:v>1.2</x:v>
      </x:c>
      <x:c r="H14" s="19" t="n">
        <x:v>0</x:v>
      </x:c>
      <x:c r="I14" s="23" t="n">
        <x:v>0</x:v>
      </x:c>
      <x:c r="J14" s="26" t="s">
        <x:v>124</x:v>
      </x:c>
      <x:c r="K14" s="26" t="s">
        <x:v>124</x:v>
      </x:c>
      <x:c r="L14" s="11" t="s">
        <x:v>600</x:v>
      </x:c>
    </x:row>
    <x:row r="15" ht="32.79999923706055" hidden="0">
      <x:c r="A15" s="9" t="n">
        <x:v>12</x:v>
      </x:c>
      <x:c r="B15" s="19" t="s">
        <x:v>601</x:v>
      </x:c>
      <x:c r="C15" s="21" t="s">
        <x:v>602</x:v>
      </x:c>
      <x:c r="D15" s="26" t="s">
        <x:v>550</x:v>
      </x:c>
      <x:c r="E15" s="31" t="s">
        <x:v>603</x:v>
      </x:c>
      <x:c r="F15" s="19" t="n">
        <x:v>2</x:v>
      </x:c>
      <x:c r="G15" s="19" t="n">
        <x:v>1.1</x:v>
      </x:c>
      <x:c r="H15" s="19" t="n">
        <x:v>12</x:v>
      </x:c>
      <x:c r="I15" s="23" t="n">
        <x:v>0</x:v>
      </x:c>
      <x:c r="J15" s="26" t="s">
        <x:v>124</x:v>
      </x:c>
      <x:c r="K15" s="32" t="s">
        <x:v>126</x:v>
      </x:c>
      <x:c r="L15" s="11" t="s">
        <x:v>604</x:v>
      </x:c>
    </x:row>
    <x:row r="16" ht="17.149999618530273" hidden="0">
      <x:c r="A16" s="9" t="n">
        <x:v>13</x:v>
      </x:c>
      <x:c r="B16" s="19" t="s">
        <x:v>605</x:v>
      </x:c>
      <x:c r="C16" s="21" t="s">
        <x:v>606</x:v>
      </x:c>
      <x:c r="D16" s="26" t="s">
        <x:v>550</x:v>
      </x:c>
      <x:c r="E16" s="31" t="s">
        <x:v>603</x:v>
      </x:c>
      <x:c r="F16" s="19" t="n">
        <x:v>2</x:v>
      </x:c>
      <x:c r="G16" s="19" t="n">
        <x:v>1.1</x:v>
      </x:c>
      <x:c r="H16" s="19" t="n">
        <x:v>12</x:v>
      </x:c>
      <x:c r="I16" s="23" t="n">
        <x:v>0</x:v>
      </x:c>
      <x:c r="J16" s="26" t="s">
        <x:v>124</x:v>
      </x:c>
      <x:c r="K16" s="32" t="s">
        <x:v>126</x:v>
      </x:c>
      <x:c r="L16" s="11" t="s">
        <x:v>607</x:v>
      </x:c>
    </x:row>
    <x:row r="18" ht="17.149999618530273" hidden="0" customHeight="1">
      <x:c r="A18" s="28" t="s">
        <x:v>608</x:v>
      </x:c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</x:row>
  </x:sheetData>
  <x:mergeCells>
    <x:mergeCell ref="A2:L2"/>
    <x:mergeCell ref="A18:L18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6" hidden="0" customWidth="1"/>
    <x:col min="2" max="2" width="14" hidden="0" customWidth="1"/>
    <x:col min="3" max="3" width="44" hidden="0" customWidth="1"/>
  </x:cols>
  <x:sheetData>
    <x:row r="1" ht="17.350000381469727" hidden="0">
      <x:c r="A1" s="1" t="s">
        <x:v>609</x:v>
      </x:c>
    </x:row>
    <x:row r="3" ht="17.149999618530273" hidden="0">
      <x:c r="A3" s="7" t="s">
        <x:v>610</x:v>
      </x:c>
      <x:c r="B3" s="7" t="s">
        <x:v>52</x:v>
      </x:c>
      <x:c r="C3" s="7" t="s">
        <x:v>54</x:v>
      </x:c>
    </x:row>
    <x:row r="4" ht="17.149999618530273" hidden="0">
      <x:c r="A4" s="8" t="s">
        <x:v>611</x:v>
      </x:c>
      <x:c r="B4" s="9" t="n">
        <x:v>11</x:v>
      </x:c>
      <x:c r="C4" s="11" t="s">
        <x:v>612</x:v>
      </x:c>
    </x:row>
    <x:row r="5" ht="17.149999618530273" hidden="0">
      <x:c r="A5" s="8" t="s">
        <x:v>613</x:v>
      </x:c>
      <x:c r="B5" s="12" t="s">
        <x:v>126</x:v>
      </x:c>
      <x:c r="C5" s="11" t="s">
        <x:v>614</x:v>
      </x:c>
    </x:row>
    <x:row r="6" ht="17.149999618530273" hidden="0">
      <x:c r="A6" s="8" t="s">
        <x:v>615</x:v>
      </x:c>
      <x:c r="B6" s="9" t="n">
        <x:v>7200</x:v>
      </x:c>
      <x:c r="C6" s="11" t="s">
        <x:v>616</x:v>
      </x:c>
    </x:row>
    <x:row r="7" ht="17.149999618530273" hidden="0">
      <x:c r="A7" s="8" t="s">
        <x:v>617</x:v>
      </x:c>
      <x:c r="B7" s="12" t="s">
        <x:v>618</x:v>
      </x:c>
      <x:c r="C7" s="11" t="s">
        <x:v>619</x:v>
      </x:c>
    </x:row>
    <x:row r="8" ht="26.850000381469727" hidden="0">
      <x:c r="A8" s="8" t="s">
        <x:v>620</x:v>
      </x:c>
      <x:c r="B8" s="20" t="n">
        <x:v>0.2</x:v>
      </x:c>
      <x:c r="C8" s="11" t="s">
        <x:v>621</x:v>
      </x:c>
    </x:row>
    <x:row r="9" ht="17.149999618530273" hidden="0">
      <x:c r="A9" s="8" t="s">
        <x:v>622</x:v>
      </x:c>
      <x:c r="B9" s="12" t="s">
        <x:v>126</x:v>
      </x:c>
      <x:c r="C9" s="11" t="s">
        <x:v>623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9" hidden="0" customWidth="1"/>
    <x:col min="2" max="2" width="14" hidden="0" customWidth="1"/>
    <x:col min="3" max="3" width="9" hidden="0" customWidth="1"/>
    <x:col min="4" max="4" width="14" hidden="0" customWidth="1"/>
    <x:col min="5" max="5" width="12" hidden="0" customWidth="1"/>
    <x:col min="6" max="6" width="14" hidden="0" customWidth="1"/>
    <x:col min="7" max="7" width="20" hidden="0" customWidth="1"/>
  </x:cols>
  <x:sheetData>
    <x:row r="1" ht="21.600000381469727" hidden="0">
      <x:c r="A1" s="33" t="s">
        <x:v>624</x:v>
      </x:c>
    </x:row>
    <x:row r="3" ht="17.149999618530273" hidden="0">
      <x:c r="A3" s="24" t="s">
        <x:v>625</x:v>
      </x:c>
      <x:c r="B3" s="24" t="s">
        <x:v>626</x:v>
      </x:c>
      <x:c r="C3" s="24" t="s">
        <x:v>175</x:v>
      </x:c>
      <x:c r="D3" s="7" t="s">
        <x:v>150</x:v>
      </x:c>
      <x:c r="E3" s="7" t="s">
        <x:v>627</x:v>
      </x:c>
      <x:c r="F3" s="7" t="s">
        <x:v>628</x:v>
      </x:c>
      <x:c r="G3" s="7" t="s">
        <x:v>54</x:v>
      </x:c>
    </x:row>
    <x:row r="4" ht="17.149999618530273" hidden="0">
      <x:c r="A4" s="9" t="n">
        <x:v>1</x:v>
      </x:c>
      <x:c r="B4" s="21" t="s">
        <x:v>629</x:v>
      </x:c>
      <x:c r="C4" s="19" t="n">
        <x:v>1001</x:v>
      </x:c>
      <x:c r="D4" s="21" t="s">
        <x:v>183</x:v>
      </x:c>
      <x:c r="E4" s="27" t="n">
        <x:v>5</x:v>
      </x:c>
      <x:c r="F4" s="19" t="n">
        <x:v>20</x:v>
      </x:c>
      <x:c r="G4" s="11" t="s">
        <x:v>630</x:v>
      </x:c>
    </x:row>
    <x:row r="5" ht="17.149999618530273" hidden="0">
      <x:c r="A5" s="9" t="n">
        <x:v>1</x:v>
      </x:c>
      <x:c r="B5" s="21" t="s">
        <x:v>629</x:v>
      </x:c>
      <x:c r="C5" s="19" t="n">
        <x:v>1002</x:v>
      </x:c>
      <x:c r="D5" s="21" t="s">
        <x:v>188</x:v>
      </x:c>
      <x:c r="E5" s="27" t="n">
        <x:v>5</x:v>
      </x:c>
      <x:c r="F5" s="19" t="n">
        <x:v>20</x:v>
      </x:c>
      <x:c r="G5" s="11" t="s">
        <x:v>630</x:v>
      </x:c>
    </x:row>
    <x:row r="6" ht="17.149999618530273" hidden="0">
      <x:c r="A6" s="9" t="n">
        <x:v>1</x:v>
      </x:c>
      <x:c r="B6" s="21" t="s">
        <x:v>629</x:v>
      </x:c>
      <x:c r="C6" s="19" t="n">
        <x:v>1005</x:v>
      </x:c>
      <x:c r="D6" s="21" t="s">
        <x:v>196</x:v>
      </x:c>
      <x:c r="E6" s="27" t="n">
        <x:v>15</x:v>
      </x:c>
      <x:c r="F6" s="19" t="n">
        <x:v>10</x:v>
      </x:c>
      <x:c r="G6" s="11" t="s">
        <x:v>197</x:v>
      </x:c>
    </x:row>
    <x:row r="7" ht="17.149999618530273" hidden="0">
      <x:c r="A7" s="9" t="n">
        <x:v>1</x:v>
      </x:c>
      <x:c r="B7" s="21" t="s">
        <x:v>629</x:v>
      </x:c>
      <x:c r="C7" s="19" t="n">
        <x:v>4001</x:v>
      </x:c>
      <x:c r="D7" s="21" t="s">
        <x:v>214</x:v>
      </x:c>
      <x:c r="E7" s="27" t="n">
        <x:v>8</x:v>
      </x:c>
      <x:c r="F7" s="19" t="n">
        <x:v>50</x:v>
      </x:c>
      <x:c r="G7" s="11" t="s">
        <x:v>631</x:v>
      </x:c>
    </x:row>
    <x:row r="8" ht="17.149999618530273" hidden="0">
      <x:c r="A8" s="9" t="n">
        <x:v>1</x:v>
      </x:c>
      <x:c r="B8" s="21" t="s">
        <x:v>629</x:v>
      </x:c>
      <x:c r="C8" s="19" t="n">
        <x:v>4002</x:v>
      </x:c>
      <x:c r="D8" s="21" t="s">
        <x:v>218</x:v>
      </x:c>
      <x:c r="E8" s="27" t="n">
        <x:v>8</x:v>
      </x:c>
      <x:c r="F8" s="19" t="n">
        <x:v>50</x:v>
      </x:c>
      <x:c r="G8" s="11" t="s">
        <x:v>632</x:v>
      </x:c>
    </x:row>
    <x:row r="9" ht="17.149999618530273" hidden="0">
      <x:c r="A9" s="9" t="n">
        <x:v>1</x:v>
      </x:c>
      <x:c r="B9" s="21" t="s">
        <x:v>633</x:v>
      </x:c>
      <x:c r="C9" s="19" t="n">
        <x:v>8101</x:v>
      </x:c>
      <x:c r="D9" s="21" t="s">
        <x:v>257</x:v>
      </x:c>
      <x:c r="E9" s="27" t="n">
        <x:v>200</x:v>
      </x:c>
      <x:c r="F9" s="19" t="n">
        <x:v>3</x:v>
      </x:c>
      <x:c r="G9" s="11" t="s">
        <x:v>634</x:v>
      </x:c>
    </x:row>
    <x:row r="10" ht="32.79999923706055" hidden="0">
      <x:c r="A10" s="9" t="n">
        <x:v>1</x:v>
      </x:c>
      <x:c r="B10" s="21" t="s">
        <x:v>633</x:v>
      </x:c>
      <x:c r="C10" s="19" t="n">
        <x:v>8102</x:v>
      </x:c>
      <x:c r="D10" s="21" t="s">
        <x:v>260</x:v>
      </x:c>
      <x:c r="E10" s="27" t="n">
        <x:v>500</x:v>
      </x:c>
      <x:c r="F10" s="19" t="n">
        <x:v>5</x:v>
      </x:c>
      <x:c r="G10" s="11" t="s">
        <x:v>635</x:v>
      </x:c>
    </x:row>
    <x:row r="11" ht="32.79999923706055" hidden="0">
      <x:c r="A11" s="9" t="n">
        <x:v>1</x:v>
      </x:c>
      <x:c r="B11" s="21" t="s">
        <x:v>636</x:v>
      </x:c>
      <x:c r="C11" s="19" t="n">
        <x:v>8201</x:v>
      </x:c>
      <x:c r="D11" s="21" t="s">
        <x:v>263</x:v>
      </x:c>
      <x:c r="E11" s="27" t="n">
        <x:v>5000</x:v>
      </x:c>
      <x:c r="F11" s="19" t="n">
        <x:v>1</x:v>
      </x:c>
      <x:c r="G11" s="11" t="s">
        <x:v>637</x:v>
      </x:c>
    </x:row>
    <x:row r="12" ht="17.149999618530273" hidden="0">
      <x:c r="A12" s="9" t="n">
        <x:v>1</x:v>
      </x:c>
      <x:c r="B12" s="21" t="s">
        <x:v>638</x:v>
      </x:c>
      <x:c r="C12" s="19" t="n">
        <x:v>8501</x:v>
      </x:c>
      <x:c r="D12" s="21" t="s">
        <x:v>275</x:v>
      </x:c>
      <x:c r="E12" s="27" t="n">
        <x:v>30</x:v>
      </x:c>
      <x:c r="F12" s="19" t="n">
        <x:v>50</x:v>
      </x:c>
      <x:c r="G12" s="11" t="s">
        <x:v>639</x:v>
      </x:c>
    </x:row>
    <x:row r="13" ht="17.149999618530273" hidden="0">
      <x:c r="A13" s="9" t="n">
        <x:v>1</x:v>
      </x:c>
      <x:c r="B13" s="21" t="s">
        <x:v>638</x:v>
      </x:c>
      <x:c r="C13" s="19" t="n">
        <x:v>8502</x:v>
      </x:c>
      <x:c r="D13" s="21" t="s">
        <x:v>279</x:v>
      </x:c>
      <x:c r="E13" s="27" t="n">
        <x:v>30</x:v>
      </x:c>
      <x:c r="F13" s="19" t="n">
        <x:v>50</x:v>
      </x:c>
      <x:c r="G13" s="11" t="s">
        <x:v>640</x:v>
      </x:c>
    </x:row>
    <x:row r="15" ht="17.149999618530273" hidden="0" customHeight="1">
      <x:c r="A15" s="28" t="s">
        <x:v>641</x:v>
      </x:c>
      <x:c r="B15" s="28"/>
      <x:c r="C15" s="28"/>
      <x:c r="D15" s="28"/>
      <x:c r="E15" s="28"/>
      <x:c r="F15" s="28"/>
      <x:c r="G15" s="28"/>
    </x:row>
  </x:sheetData>
  <x:mergeCells>
    <x:mergeCell ref="A15:G15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1" hidden="0" customWidth="1"/>
    <x:col min="2" max="3" width="12" hidden="0" customWidth="1"/>
    <x:col min="4" max="4" width="16" hidden="0" customWidth="1"/>
    <x:col min="5" max="5" width="10" hidden="0" customWidth="1"/>
    <x:col min="6" max="6" width="22" hidden="0" customWidth="1"/>
    <x:col min="7" max="7" width="20" hidden="0" customWidth="1"/>
  </x:cols>
  <x:sheetData>
    <x:row r="1" ht="17.350000381469727" hidden="0">
      <x:c r="A1" s="1" t="s">
        <x:v>642</x:v>
      </x:c>
    </x:row>
    <x:row r="2" ht="17.149999618530273" hidden="0" customHeight="1">
      <x:c r="A2" s="17" t="s">
        <x:v>643</x:v>
      </x:c>
      <x:c r="B2" s="17"/>
      <x:c r="C2" s="17"/>
      <x:c r="D2" s="17"/>
      <x:c r="E2" s="17"/>
      <x:c r="F2" s="17"/>
      <x:c r="G2" s="17"/>
    </x:row>
    <x:row r="3" ht="17.149999618530273" hidden="0">
      <x:c r="A3" s="24" t="s">
        <x:v>644</x:v>
      </x:c>
      <x:c r="B3" s="7" t="s">
        <x:v>645</x:v>
      </x:c>
      <x:c r="C3" s="7" t="s">
        <x:v>646</x:v>
      </x:c>
      <x:c r="D3" s="7" t="s">
        <x:v>647</x:v>
      </x:c>
      <x:c r="E3" s="7" t="s">
        <x:v>648</x:v>
      </x:c>
      <x:c r="F3" s="7" t="s">
        <x:v>649</x:v>
      </x:c>
      <x:c r="G3" s="7" t="s">
        <x:v>54</x:v>
      </x:c>
    </x:row>
    <x:row r="4" ht="32.79999923706055" hidden="0">
      <x:c r="A4" s="9" t="n">
        <x:v>1</x:v>
      </x:c>
      <x:c r="B4" s="21" t="s">
        <x:v>650</x:v>
      </x:c>
      <x:c r="C4" s="26" t="s">
        <x:v>651</x:v>
      </x:c>
      <x:c r="D4" s="22" t="n">
        <x:v>0.03</x:v>
      </x:c>
      <x:c r="E4" s="19" t="n">
        <x:v>1</x:v>
      </x:c>
      <x:c r="F4" s="11" t="s">
        <x:v>652</x:v>
      </x:c>
      <x:c r="G4" s="11" t="s">
        <x:v>653</x:v>
      </x:c>
    </x:row>
    <x:row r="5" ht="32.79999923706055" hidden="0">
      <x:c r="A5" s="9" t="n">
        <x:v>2</x:v>
      </x:c>
      <x:c r="B5" s="21" t="s">
        <x:v>654</x:v>
      </x:c>
      <x:c r="C5" s="26" t="s">
        <x:v>655</x:v>
      </x:c>
      <x:c r="D5" s="22" t="n">
        <x:v>0.015</x:v>
      </x:c>
      <x:c r="E5" s="19" t="n">
        <x:v>1</x:v>
      </x:c>
      <x:c r="F5" s="11" t="s">
        <x:v>656</x:v>
      </x:c>
      <x:c r="G5" s="11" t="s">
        <x:v>657</x:v>
      </x:c>
    </x:row>
    <x:row r="6" ht="17.149999618530273" hidden="0">
      <x:c r="A6" s="9" t="n">
        <x:v>3</x:v>
      </x:c>
      <x:c r="B6" s="21" t="s">
        <x:v>658</x:v>
      </x:c>
      <x:c r="C6" s="26" t="s">
        <x:v>659</x:v>
      </x:c>
      <x:c r="D6" s="22" t="n">
        <x:v>0</x:v>
      </x:c>
      <x:c r="E6" s="19" t="n">
        <x:v>5</x:v>
      </x:c>
      <x:c r="F6" s="11" t="s">
        <x:v>660</x:v>
      </x:c>
      <x:c r="G6" s="11"/>
    </x:row>
    <x:row r="7" ht="17.149999618530273" hidden="0">
      <x:c r="A7" s="9" t="n">
        <x:v>4</x:v>
      </x:c>
      <x:c r="B7" s="21" t="s">
        <x:v>661</x:v>
      </x:c>
      <x:c r="C7" s="26" t="s">
        <x:v>662</x:v>
      </x:c>
      <x:c r="D7" s="22" t="n">
        <x:v>0</x:v>
      </x:c>
      <x:c r="E7" s="19" t="n">
        <x:v>10</x:v>
      </x:c>
      <x:c r="F7" s="11" t="s">
        <x:v>663</x:v>
      </x:c>
      <x:c r="G7" s="11"/>
    </x:row>
    <x:row r="8" ht="17.149999618530273" hidden="0">
      <x:c r="A8" s="9" t="n">
        <x:v>5</x:v>
      </x:c>
      <x:c r="B8" s="21" t="s">
        <x:v>664</x:v>
      </x:c>
      <x:c r="C8" s="26" t="s">
        <x:v>662</x:v>
      </x:c>
      <x:c r="D8" s="22" t="n">
        <x:v>0</x:v>
      </x:c>
      <x:c r="E8" s="19" t="n">
        <x:v>50</x:v>
      </x:c>
      <x:c r="F8" s="11" t="s">
        <x:v>665</x:v>
      </x:c>
      <x:c r="G8" s="11"/>
    </x:row>
    <x:row r="9" ht="17.149999618530273" hidden="0">
      <x:c r="A9" s="9" t="n">
        <x:v>6</x:v>
      </x:c>
      <x:c r="B9" s="21" t="s">
        <x:v>666</x:v>
      </x:c>
      <x:c r="C9" s="26" t="s">
        <x:v>662</x:v>
      </x:c>
      <x:c r="D9" s="22" t="n">
        <x:v>0</x:v>
      </x:c>
      <x:c r="E9" s="19" t="n">
        <x:v>200</x:v>
      </x:c>
      <x:c r="F9" s="11" t="s">
        <x:v>667</x:v>
      </x:c>
      <x:c r="G9" s="11" t="s">
        <x:v>668</x:v>
      </x:c>
    </x:row>
  </x:sheetData>
  <x:mergeCells>
    <x:mergeCell ref="A2:G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" hidden="0" customWidth="1"/>
    <x:col min="2" max="2" width="8" hidden="0" customWidth="1"/>
    <x:col min="3" max="3" width="16" hidden="0" customWidth="1"/>
    <x:col min="4" max="4" width="10" hidden="0" customWidth="1"/>
    <x:col min="5" max="5" width="18" hidden="0" customWidth="1"/>
    <x:col min="6" max="6" width="24" hidden="0" customWidth="1"/>
  </x:cols>
  <x:sheetData>
    <x:row r="1" ht="17.350000381469727" hidden="0">
      <x:c r="A1" s="1" t="s">
        <x:v>669</x:v>
      </x:c>
    </x:row>
    <x:row r="2" ht="32.79999923706055" hidden="0" customHeight="1">
      <x:c r="A2" s="17" t="s">
        <x:v>670</x:v>
      </x:c>
      <x:c r="B2" s="17"/>
      <x:c r="C2" s="17"/>
      <x:c r="D2" s="17"/>
      <x:c r="E2" s="17"/>
      <x:c r="F2" s="17"/>
    </x:row>
    <x:row r="3" ht="17.149999618530273" hidden="0">
      <x:c r="A3" s="7" t="s">
        <x:v>671</x:v>
      </x:c>
      <x:c r="B3" s="7" t="s">
        <x:v>672</x:v>
      </x:c>
      <x:c r="C3" s="7" t="s">
        <x:v>177</x:v>
      </x:c>
      <x:c r="D3" s="7" t="s">
        <x:v>673</x:v>
      </x:c>
      <x:c r="E3" s="7" t="s">
        <x:v>674</x:v>
      </x:c>
      <x:c r="F3" s="7" t="s">
        <x:v>54</x:v>
      </x:c>
    </x:row>
    <x:row r="4" ht="17.149999618530273" hidden="0">
      <x:c r="A4" s="21" t="s">
        <x:v>675</x:v>
      </x:c>
      <x:c r="B4" s="26" t="s">
        <x:v>456</x:v>
      </x:c>
      <x:c r="C4" s="26" t="s">
        <x:v>676</x:v>
      </x:c>
      <x:c r="D4" s="23" t="n">
        <x:v>0.02</x:v>
      </x:c>
      <x:c r="E4" s="27" t="n">
        <x:v>1000</x:v>
      </x:c>
      <x:c r="F4" s="11" t="s">
        <x:v>677</x:v>
      </x:c>
    </x:row>
    <x:row r="5" ht="17.149999618530273" hidden="0">
      <x:c r="A5" s="21" t="s">
        <x:v>675</x:v>
      </x:c>
      <x:c r="B5" s="26" t="s">
        <x:v>460</x:v>
      </x:c>
      <x:c r="C5" s="26" t="s">
        <x:v>676</x:v>
      </x:c>
      <x:c r="D5" s="23" t="n">
        <x:v>0.04</x:v>
      </x:c>
      <x:c r="E5" s="27" t="n">
        <x:v>3000</x:v>
      </x:c>
      <x:c r="F5" s="11" t="s">
        <x:v>678</x:v>
      </x:c>
    </x:row>
    <x:row r="6" ht="17.149999618530273" hidden="0">
      <x:c r="A6" s="21" t="s">
        <x:v>675</x:v>
      </x:c>
      <x:c r="B6" s="26" t="s">
        <x:v>464</x:v>
      </x:c>
      <x:c r="C6" s="26" t="s">
        <x:v>676</x:v>
      </x:c>
      <x:c r="D6" s="23" t="n">
        <x:v>0.06</x:v>
      </x:c>
      <x:c r="E6" s="27" t="n">
        <x:v>8000</x:v>
      </x:c>
      <x:c r="F6" s="11" t="s">
        <x:v>679</x:v>
      </x:c>
    </x:row>
    <x:row r="7" ht="17.149999618530273" hidden="0">
      <x:c r="A7" s="21" t="s">
        <x:v>680</x:v>
      </x:c>
      <x:c r="B7" s="26" t="s">
        <x:v>456</x:v>
      </x:c>
      <x:c r="C7" s="26" t="s">
        <x:v>681</x:v>
      </x:c>
      <x:c r="D7" s="23" t="n">
        <x:v>0.1</x:v>
      </x:c>
      <x:c r="E7" s="27" t="n">
        <x:v>1000</x:v>
      </x:c>
      <x:c r="F7" s="11" t="s">
        <x:v>682</x:v>
      </x:c>
    </x:row>
    <x:row r="8" ht="17.149999618530273" hidden="0">
      <x:c r="A8" s="21" t="s">
        <x:v>680</x:v>
      </x:c>
      <x:c r="B8" s="26" t="s">
        <x:v>460</x:v>
      </x:c>
      <x:c r="C8" s="26" t="s">
        <x:v>681</x:v>
      </x:c>
      <x:c r="D8" s="23" t="n">
        <x:v>0.15</x:v>
      </x:c>
      <x:c r="E8" s="27" t="n">
        <x:v>3000</x:v>
      </x:c>
      <x:c r="F8" s="30" t="s">
        <x:v>683</x:v>
      </x:c>
    </x:row>
    <x:row r="9" ht="17.149999618530273" hidden="0">
      <x:c r="A9" s="21" t="s">
        <x:v>680</x:v>
      </x:c>
      <x:c r="B9" s="26" t="s">
        <x:v>464</x:v>
      </x:c>
      <x:c r="C9" s="26" t="s">
        <x:v>681</x:v>
      </x:c>
      <x:c r="D9" s="23" t="n">
        <x:v>0.2</x:v>
      </x:c>
      <x:c r="E9" s="27" t="n">
        <x:v>8000</x:v>
      </x:c>
      <x:c r="F9" s="30" t="s">
        <x:v>684</x:v>
      </x:c>
    </x:row>
  </x:sheetData>
  <x:mergeCells>
    <x:mergeCell ref="A2:F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6" hidden="0" customWidth="1"/>
    <x:col min="2" max="2" width="20" hidden="0" customWidth="1"/>
    <x:col min="3" max="3" width="42" hidden="0" customWidth="1"/>
    <x:col min="4" max="4" width="4" hidden="0" customWidth="1"/>
  </x:cols>
  <x:sheetData>
    <x:row r="1" ht="17.350000381469727" hidden="0">
      <x:c r="A1" s="1" t="s">
        <x:v>685</x:v>
      </x:c>
    </x:row>
    <x:row r="2" ht="32.79999923706055" hidden="0" customHeight="1">
      <x:c r="A2" s="17" t="s">
        <x:v>686</x:v>
      </x:c>
      <x:c r="B2" s="17"/>
      <x:c r="C2" s="17"/>
      <x:c r="D2" s="17"/>
    </x:row>
    <x:row r="3" ht="17.149999618530273" hidden="0" customHeight="1">
      <x:c r="A3" s="18" t="s">
        <x:v>687</x:v>
      </x:c>
      <x:c r="B3" s="18"/>
      <x:c r="C3" s="18"/>
      <x:c r="D3" s="18"/>
    </x:row>
    <x:row r="4" ht="17.149999618530273" hidden="0">
      <x:c r="A4" s="7" t="s">
        <x:v>688</x:v>
      </x:c>
      <x:c r="B4" s="7" t="s">
        <x:v>689</x:v>
      </x:c>
      <x:c r="C4" s="7" t="s">
        <x:v>690</x:v>
      </x:c>
      <x:c r="D4" s="7" t="s">
        <x:v>54</x:v>
      </x:c>
    </x:row>
    <x:row r="5" ht="199.25" hidden="0">
      <x:c r="A5" s="19" t="n">
        <x:v>1</x:v>
      </x:c>
      <x:c r="B5" s="23" t="n">
        <x:v>0.05</x:v>
      </x:c>
      <x:c r="C5" s="27" t="n">
        <x:v>0</x:v>
      </x:c>
      <x:c r="D5" s="11" t="s">
        <x:v>691</x:v>
      </x:c>
    </x:row>
    <x:row r="6" ht="26.850000381469727" hidden="0">
      <x:c r="A6" s="19" t="n">
        <x:v>2</x:v>
      </x:c>
      <x:c r="B6" s="23" t="n">
        <x:v>0.07</x:v>
      </x:c>
      <x:c r="C6" s="27" t="n">
        <x:v>5000</x:v>
      </x:c>
      <x:c r="D6" s="30" t="s">
        <x:v>692</x:v>
      </x:c>
    </x:row>
    <x:row r="7" ht="26.850000381469727" hidden="0">
      <x:c r="A7" s="19" t="n">
        <x:v>3</x:v>
      </x:c>
      <x:c r="B7" s="23" t="n">
        <x:v>0.09</x:v>
      </x:c>
      <x:c r="C7" s="27" t="n">
        <x:v>15000</x:v>
      </x:c>
      <x:c r="D7" s="30" t="s">
        <x:v>693</x:v>
      </x:c>
    </x:row>
    <x:row r="9" ht="17.149999618530273" hidden="0" customHeight="1">
      <x:c r="A9" s="18" t="s">
        <x:v>694</x:v>
      </x:c>
      <x:c r="B9" s="18"/>
      <x:c r="C9" s="18"/>
      <x:c r="D9" s="18"/>
    </x:row>
    <x:row r="10" ht="15" hidden="0">
      <x:c r="A10" s="7" t="s">
        <x:v>695</x:v>
      </x:c>
      <x:c r="B10" s="7" t="s">
        <x:v>52</x:v>
      </x:c>
      <x:c r="C10" s="7" t="s">
        <x:v>54</x:v>
      </x:c>
    </x:row>
    <x:row r="11" ht="17.149999618530273" hidden="0">
      <x:c r="A11" s="18" t="s">
        <x:v>696</x:v>
      </x:c>
      <x:c r="B11" s="12" t="s">
        <x:v>659</x:v>
      </x:c>
      <x:c r="C11" s="30" t="s">
        <x:v>697</x:v>
      </x:c>
    </x:row>
    <x:row r="12" ht="17.149999618530273" hidden="0">
      <x:c r="A12" s="18" t="s">
        <x:v>698</x:v>
      </x:c>
      <x:c r="B12" s="12" t="s">
        <x:v>699</x:v>
      </x:c>
      <x:c r="C12" s="30" t="s">
        <x:v>700</x:v>
      </x:c>
    </x:row>
    <x:row r="13" ht="17.149999618530273" hidden="0">
      <x:c r="A13" s="18" t="s">
        <x:v>701</x:v>
      </x:c>
      <x:c r="B13" s="20" t="n">
        <x:v>0.01</x:v>
      </x:c>
      <x:c r="C13" s="11" t="s">
        <x:v>702</x:v>
      </x:c>
    </x:row>
    <x:row r="14" ht="32.79999923706055" hidden="0">
      <x:c r="A14" s="18" t="s">
        <x:v>703</x:v>
      </x:c>
      <x:c r="B14" s="9" t="n">
        <x:v>500</x:v>
      </x:c>
      <x:c r="C14" s="11" t="s">
        <x:v>704</x:v>
      </x:c>
    </x:row>
    <x:row r="15" ht="17.149999618530273" hidden="0">
      <x:c r="A15" s="18" t="s">
        <x:v>705</x:v>
      </x:c>
      <x:c r="B15" s="12" t="s">
        <x:v>706</x:v>
      </x:c>
      <x:c r="C15" s="11" t="s">
        <x:v>707</x:v>
      </x:c>
    </x:row>
    <x:row r="16" ht="17.149999618530273" hidden="0">
      <x:c r="A16" s="18" t="s">
        <x:v>708</x:v>
      </x:c>
      <x:c r="B16" s="20" t="n">
        <x:v>0.15</x:v>
      </x:c>
      <x:c r="C16" s="11" t="s">
        <x:v>709</x:v>
      </x:c>
    </x:row>
    <x:row r="17" ht="17.149999618530273" hidden="0">
      <x:c r="A17" s="18" t="s">
        <x:v>710</x:v>
      </x:c>
      <x:c r="B17" s="12" t="s">
        <x:v>711</x:v>
      </x:c>
      <x:c r="C17" s="11" t="s">
        <x:v>712</x:v>
      </x:c>
    </x:row>
  </x:sheetData>
  <x:mergeCells>
    <x:mergeCell ref="A2:D2"/>
    <x:mergeCell ref="A3:D3"/>
    <x:mergeCell ref="A9:D9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2" width="10" hidden="0" customWidth="1"/>
    <x:col min="3" max="4" width="14" hidden="0" customWidth="1"/>
    <x:col min="5" max="6" width="12" hidden="0" customWidth="1"/>
    <x:col min="7" max="7" width="18" hidden="0" customWidth="1"/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hidden="0" customHeight="1">
      <x:c r="A1" s="123" t="str">
        <x:v>強化表（庚精）｜ENGINE V1 BASELINE</x:v>
      </x:c>
      <x:c r="B1" s="124"/>
      <x:c r="C1" s="124"/>
      <x:c r="D1" s="124"/>
      <x:c r="E1" s="124"/>
      <x:c r="F1" s="124"/>
      <x:c r="G1" s="124"/>
    </x:row>
    <x:row r="2" ht="32" hidden="0" customHeight="1">
      <x:c r="A2" s="100" t="str">
        <x:v>每次強化消耗1庚精。+0→+6必定成功；+6後每提高1級，成功率減半。失敗結果：裝備消失40%、無變化30%、倒退1級30%。</x:v>
      </x:c>
      <x:c r="B2" s="100"/>
      <x:c r="C2" s="100"/>
      <x:c r="D2" s="100"/>
      <x:c r="E2" s="100"/>
      <x:c r="F2" s="100"/>
      <x:c r="G2" s="100"/>
    </x:row>
    <x:row r="3" ht="17.149999618530273" hidden="0">
      <x:c r="A3" s="125" t="str">
        <x:v>目前強化</x:v>
      </x:c>
      <x:c r="B3" s="125" t="str">
        <x:v>目標強化</x:v>
      </x:c>
      <x:c r="C3" s="125" t="str">
        <x:v>成功率</x:v>
      </x:c>
      <x:c r="D3" s="125" t="str">
        <x:v>每級加成(攻/防)</x:v>
      </x:c>
      <x:c r="E3" s="125" t="str">
        <x:v>失敗-裝備消失</x:v>
      </x:c>
      <x:c r="F3" s="125" t="str">
        <x:v>失敗-無變化</x:v>
      </x:c>
      <x:c r="G3" s="125" t="str">
        <x:v>失敗-倒退1級</x:v>
      </x:c>
    </x:row>
    <x:row r="4" ht="17.149999618530273" hidden="0">
      <x:c r="A4" s="115" t="n">
        <x:v>0</x:v>
      </x:c>
      <x:c r="B4" s="126" t="n">
        <x:v>1</x:v>
      </x:c>
      <x:c r="C4" s="127" t="n">
        <x:v>1</x:v>
      </x:c>
      <x:c r="D4" s="128" t="n">
        <x:v>0.05</x:v>
      </x:c>
      <x:c r="E4" s="128" t="n">
        <x:v>0</x:v>
      </x:c>
      <x:c r="F4" s="128" t="n">
        <x:v>0</x:v>
      </x:c>
      <x:c r="G4" s="107" t="n">
        <x:v>0</x:v>
      </x:c>
    </x:row>
    <x:row r="5" ht="17.149999618530273" hidden="0">
      <x:c r="A5" s="115" t="n">
        <x:v>1</x:v>
      </x:c>
      <x:c r="B5" s="126" t="n">
        <x:v>2</x:v>
      </x:c>
      <x:c r="C5" s="127" t="n">
        <x:v>1</x:v>
      </x:c>
      <x:c r="D5" s="128" t="n">
        <x:v>0.05</x:v>
      </x:c>
      <x:c r="E5" s="128" t="n">
        <x:v>0</x:v>
      </x:c>
      <x:c r="F5" s="128" t="n">
        <x:v>0</x:v>
      </x:c>
      <x:c r="G5" s="107" t="n">
        <x:v>0</x:v>
      </x:c>
    </x:row>
    <x:row r="6" ht="15" hidden="0">
      <x:c r="A6" s="115" t="n">
        <x:v>2</x:v>
      </x:c>
      <x:c r="B6" s="126" t="n">
        <x:v>3</x:v>
      </x:c>
      <x:c r="C6" s="127" t="n">
        <x:v>1</x:v>
      </x:c>
      <x:c r="D6" s="128" t="n">
        <x:v>0.05</x:v>
      </x:c>
      <x:c r="E6" s="128" t="n">
        <x:v>0</x:v>
      </x:c>
      <x:c r="F6" s="128" t="n">
        <x:v>0</x:v>
      </x:c>
      <x:c r="G6" s="107" t="n">
        <x:v>0</x:v>
      </x:c>
    </x:row>
    <x:row r="7" ht="17.149999618530273" hidden="0">
      <x:c r="A7" s="115" t="n">
        <x:v>3</x:v>
      </x:c>
      <x:c r="B7" s="126" t="n">
        <x:v>4</x:v>
      </x:c>
      <x:c r="C7" s="127" t="n">
        <x:v>1</x:v>
      </x:c>
      <x:c r="D7" s="128" t="n">
        <x:v>0.05</x:v>
      </x:c>
      <x:c r="E7" s="128" t="n">
        <x:v>0</x:v>
      </x:c>
      <x:c r="F7" s="128" t="n">
        <x:v>0</x:v>
      </x:c>
      <x:c r="G7" s="107" t="n">
        <x:v>0</x:v>
      </x:c>
    </x:row>
    <x:row r="8">
      <x:c r="A8" s="129" t="n">
        <x:v>4</x:v>
      </x:c>
      <x:c r="B8" s="129" t="n">
        <x:v>5</x:v>
      </x:c>
      <x:c r="C8" s="130" t="n">
        <x:v>1</x:v>
      </x:c>
      <x:c r="D8" s="130" t="n">
        <x:v>0.05</x:v>
      </x:c>
      <x:c r="E8" s="130" t="n">
        <x:v>0</x:v>
      </x:c>
      <x:c r="F8" s="130" t="n">
        <x:v>0</x:v>
      </x:c>
      <x:c r="G8" s="130" t="n">
        <x:v>0</x:v>
      </x:c>
    </x:row>
    <x:row r="9" ht="17.149999618530273" hidden="0" customHeight="1">
      <x:c r="A9" s="118" t="n">
        <x:v>5</x:v>
      </x:c>
      <x:c r="B9" s="118" t="n">
        <x:v>6</x:v>
      </x:c>
      <x:c r="C9" s="109" t="n">
        <x:v>1</x:v>
      </x:c>
      <x:c r="D9" s="109" t="n">
        <x:v>0.05</x:v>
      </x:c>
      <x:c r="E9" s="109" t="n">
        <x:v>0</x:v>
      </x:c>
      <x:c r="F9" s="109" t="n">
        <x:v>0</x:v>
      </x:c>
      <x:c r="G9" s="109" t="n">
        <x:v>0</x:v>
      </x:c>
    </x:row>
    <x:row r="10">
      <x:c r="A10" s="129" t="n">
        <x:v>6</x:v>
      </x:c>
      <x:c r="B10" s="129" t="n">
        <x:v>7</x:v>
      </x:c>
      <x:c r="C10" s="130" t="n">
        <x:v>0.5</x:v>
      </x:c>
      <x:c r="D10" s="130" t="n">
        <x:v>0.05</x:v>
      </x:c>
      <x:c r="E10" s="130" t="n">
        <x:v>0.4</x:v>
      </x:c>
      <x:c r="F10" s="130" t="n">
        <x:v>0.3</x:v>
      </x:c>
      <x:c r="G10" s="130" t="n">
        <x:v>0.3</x:v>
      </x:c>
    </x:row>
    <x:row r="11">
      <x:c r="A11" s="129" t="n">
        <x:v>7</x:v>
      </x:c>
      <x:c r="B11" s="129" t="n">
        <x:v>8</x:v>
      </x:c>
      <x:c r="C11" s="130" t="n">
        <x:v>0.25</x:v>
      </x:c>
      <x:c r="D11" s="130" t="n">
        <x:v>0.05</x:v>
      </x:c>
      <x:c r="E11" s="130" t="n">
        <x:v>0.4</x:v>
      </x:c>
      <x:c r="F11" s="130" t="n">
        <x:v>0.3</x:v>
      </x:c>
      <x:c r="G11" s="130" t="n">
        <x:v>0.3</x:v>
      </x:c>
    </x:row>
    <x:row r="12">
      <x:c r="A12" s="129" t="n">
        <x:v>8</x:v>
      </x:c>
      <x:c r="B12" s="129" t="n">
        <x:v>9</x:v>
      </x:c>
      <x:c r="C12" s="130" t="n">
        <x:v>0.125</x:v>
      </x:c>
      <x:c r="D12" s="130" t="n">
        <x:v>0.05</x:v>
      </x:c>
      <x:c r="E12" s="130" t="n">
        <x:v>0.4</x:v>
      </x:c>
      <x:c r="F12" s="130" t="n">
        <x:v>0.3</x:v>
      </x:c>
      <x:c r="G12" s="130" t="n">
        <x:v>0.3</x:v>
      </x:c>
    </x:row>
    <x:row r="13">
      <x:c r="A13" s="129" t="n">
        <x:v>9</x:v>
      </x:c>
      <x:c r="B13" s="129" t="n">
        <x:v>10</x:v>
      </x:c>
      <x:c r="C13" s="130" t="n">
        <x:v>0.0625</x:v>
      </x:c>
      <x:c r="D13" s="130" t="n">
        <x:v>0.05</x:v>
      </x:c>
      <x:c r="E13" s="130" t="n">
        <x:v>0.4</x:v>
      </x:c>
      <x:c r="F13" s="130" t="n">
        <x:v>0.3</x:v>
      </x:c>
      <x:c r="G13" s="130" t="n">
        <x:v>0.3</x:v>
      </x:c>
    </x:row>
    <x:row r="14">
      <x:c r="A14" s="129" t="n">
        <x:v>10</x:v>
      </x:c>
      <x:c r="B14" s="129" t="n">
        <x:v>11</x:v>
      </x:c>
      <x:c r="C14" s="130" t="n">
        <x:v>0.03125</x:v>
      </x:c>
      <x:c r="D14" s="130" t="n">
        <x:v>0.05</x:v>
      </x:c>
      <x:c r="E14" s="130" t="n">
        <x:v>0.4</x:v>
      </x:c>
      <x:c r="F14" s="130" t="n">
        <x:v>0.3</x:v>
      </x:c>
      <x:c r="G14" s="130" t="n">
        <x:v>0.3</x:v>
      </x:c>
    </x:row>
    <x:row r="15">
      <x:c r="A15" s="129" t="n">
        <x:v>11</x:v>
      </x:c>
      <x:c r="B15" s="129" t="n">
        <x:v>12</x:v>
      </x:c>
      <x:c r="C15" s="130" t="n">
        <x:v>0.015625</x:v>
      </x:c>
      <x:c r="D15" s="130" t="n">
        <x:v>0.05</x:v>
      </x:c>
      <x:c r="E15" s="130" t="n">
        <x:v>0.4</x:v>
      </x:c>
      <x:c r="F15" s="130" t="n">
        <x:v>0.3</x:v>
      </x:c>
      <x:c r="G15" s="130" t="n">
        <x:v>0.3</x:v>
      </x:c>
    </x:row>
    <x:row r="16">
      <x:c r="A16" s="129" t="n">
        <x:v>12</x:v>
      </x:c>
      <x:c r="B16" s="129" t="n">
        <x:v>13</x:v>
      </x:c>
      <x:c r="C16" s="130" t="n">
        <x:v>0.0078125</x:v>
      </x:c>
      <x:c r="D16" s="130" t="n">
        <x:v>0.05</x:v>
      </x:c>
      <x:c r="E16" s="130" t="n">
        <x:v>0.4</x:v>
      </x:c>
      <x:c r="F16" s="130" t="n">
        <x:v>0.3</x:v>
      </x:c>
      <x:c r="G16" s="130" t="n">
        <x:v>0.3</x:v>
      </x:c>
    </x:row>
    <x:row r="17">
      <x:c r="A17" s="129" t="n">
        <x:v>13</x:v>
      </x:c>
      <x:c r="B17" s="129" t="n">
        <x:v>14</x:v>
      </x:c>
      <x:c r="C17" s="130" t="n">
        <x:v>0.00390625</x:v>
      </x:c>
      <x:c r="D17" s="130" t="n">
        <x:v>0.05</x:v>
      </x:c>
      <x:c r="E17" s="130" t="n">
        <x:v>0.4</x:v>
      </x:c>
      <x:c r="F17" s="130" t="n">
        <x:v>0.3</x:v>
      </x:c>
      <x:c r="G17" s="130" t="n">
        <x:v>0.3</x:v>
      </x:c>
    </x:row>
    <x:row r="18">
      <x:c r="A18" s="129" t="n">
        <x:v>14</x:v>
      </x:c>
      <x:c r="B18" s="129" t="n">
        <x:v>15</x:v>
      </x:c>
      <x:c r="C18" s="130" t="n">
        <x:v>0.001953125</x:v>
      </x:c>
      <x:c r="D18" s="130" t="n">
        <x:v>0.05</x:v>
      </x:c>
      <x:c r="E18" s="130" t="n">
        <x:v>0.4</x:v>
      </x:c>
      <x:c r="F18" s="130" t="n">
        <x:v>0.3</x:v>
      </x:c>
      <x:c r="G18" s="130" t="n">
        <x:v>0.3</x:v>
      </x:c>
    </x:row>
    <x:row r="19">
      <x:c r="A19" s="129" t="n">
        <x:v>15</x:v>
      </x:c>
      <x:c r="B19" s="129" t="n">
        <x:v>16</x:v>
      </x:c>
      <x:c r="C19" s="130" t="n">
        <x:v>0.0009765625</x:v>
      </x:c>
      <x:c r="D19" s="130" t="n">
        <x:v>0.05</x:v>
      </x:c>
      <x:c r="E19" s="130" t="n">
        <x:v>0.4</x:v>
      </x:c>
      <x:c r="F19" s="130" t="n">
        <x:v>0.3</x:v>
      </x:c>
      <x:c r="G19" s="130" t="n">
        <x:v>0.3</x:v>
      </x:c>
    </x:row>
  </x:sheetData>
  <x:mergeCells>
    <x:mergeCell ref="A2:G2"/>
    <x:mergeCell ref="A9:G9"/>
    <x:mergeCell ref="A1:G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8" hidden="0" customWidth="1"/>
    <x:col min="2" max="4" width="14" hidden="0" customWidth="1"/>
    <x:col min="5" max="5" width="10" hidden="0" customWidth="1"/>
  </x:cols>
  <x:sheetData>
    <x:row r="1" ht="17.350000381469727" hidden="0">
      <x:c r="A1" s="1" t="s">
        <x:v>713</x:v>
      </x:c>
    </x:row>
    <x:row r="2" ht="48.5" hidden="0" customHeight="1">
      <x:c r="A2" s="17" t="s">
        <x:v>714</x:v>
      </x:c>
      <x:c r="B2" s="17"/>
      <x:c r="C2" s="17"/>
      <x:c r="D2" s="17"/>
      <x:c r="E2" s="17"/>
    </x:row>
    <x:row r="3" ht="17.149999618530273" hidden="0" customHeight="1">
      <x:c r="A3" s="18" t="s">
        <x:v>715</x:v>
      </x:c>
      <x:c r="B3" s="18"/>
      <x:c r="C3" s="18"/>
      <x:c r="D3" s="18"/>
      <x:c r="E3" s="18"/>
    </x:row>
    <x:row r="4" ht="15" hidden="0">
      <x:c r="A4" s="7" t="s">
        <x:v>716</x:v>
      </x:c>
      <x:c r="B4" s="7" t="s">
        <x:v>717</x:v>
      </x:c>
      <x:c r="C4" s="7" t="s">
        <x:v>718</x:v>
      </x:c>
      <x:c r="D4" s="7" t="s">
        <x:v>54</x:v>
      </x:c>
    </x:row>
    <x:row r="5" ht="17.149999618530273" hidden="0">
      <x:c r="A5" s="34" t="s">
        <x:v>719</x:v>
      </x:c>
      <x:c r="B5" s="21" t="s">
        <x:v>720</x:v>
      </x:c>
      <x:c r="C5" s="30" t="s">
        <x:v>81</x:v>
      </x:c>
      <x:c r="D5" s="11" t="s">
        <x:v>721</x:v>
      </x:c>
    </x:row>
    <x:row r="6" ht="73.8499984741211" hidden="0">
      <x:c r="A6" s="34" t="s">
        <x:v>722</x:v>
      </x:c>
      <x:c r="B6" s="21" t="s">
        <x:v>723</x:v>
      </x:c>
      <x:c r="C6" s="11" t="s">
        <x:v>724</x:v>
      </x:c>
      <x:c r="D6" s="11" t="s">
        <x:v>725</x:v>
      </x:c>
    </x:row>
    <x:row r="7" ht="45.5" hidden="0">
      <x:c r="A7" s="34" t="s">
        <x:v>726</x:v>
      </x:c>
      <x:c r="B7" s="31" t="s">
        <x:v>727</x:v>
      </x:c>
      <x:c r="C7" s="11" t="s">
        <x:v>728</x:v>
      </x:c>
      <x:c r="D7" s="11" t="s">
        <x:v>729</x:v>
      </x:c>
    </x:row>
    <x:row r="8" ht="64.1500015258789" hidden="0">
      <x:c r="A8" s="34" t="s">
        <x:v>730</x:v>
      </x:c>
      <x:c r="B8" s="21" t="s">
        <x:v>731</x:v>
      </x:c>
      <x:c r="C8" s="11" t="s">
        <x:v>732</x:v>
      </x:c>
      <x:c r="D8" s="11" t="s">
        <x:v>733</x:v>
      </x:c>
    </x:row>
    <x:row r="10" ht="17.149999618530273" hidden="0" customHeight="1">
      <x:c r="A10" s="18" t="s">
        <x:v>734</x:v>
      </x:c>
      <x:c r="B10" s="18"/>
      <x:c r="C10" s="18"/>
      <x:c r="D10" s="18"/>
      <x:c r="E10" s="18"/>
    </x:row>
    <x:row r="11" ht="15" hidden="0">
      <x:c r="A11" s="7" t="s">
        <x:v>716</x:v>
      </x:c>
      <x:c r="B11" s="7" t="s">
        <x:v>735</x:v>
      </x:c>
      <x:c r="C11" s="7" t="s">
        <x:v>736</x:v>
      </x:c>
    </x:row>
    <x:row r="12" ht="76.8499984741211" hidden="0">
      <x:c r="A12" s="34" t="s">
        <x:v>719</x:v>
      </x:c>
      <x:c r="B12" s="20" t="n">
        <x:v>0.6</x:v>
      </x:c>
      <x:c r="C12" s="11" t="s">
        <x:v>737</x:v>
      </x:c>
    </x:row>
    <x:row r="13" ht="32.79999923706055" hidden="0">
      <x:c r="A13" s="34" t="s">
        <x:v>722</x:v>
      </x:c>
      <x:c r="B13" s="20" t="n">
        <x:v>0.6</x:v>
      </x:c>
      <x:c r="C13" s="11" t="s">
        <x:v>738</x:v>
      </x:c>
    </x:row>
    <x:row r="14" ht="32.79999923706055" hidden="0">
      <x:c r="A14" s="34" t="s">
        <x:v>726</x:v>
      </x:c>
      <x:c r="B14" s="20" t="n">
        <x:v>0.6</x:v>
      </x:c>
      <x:c r="C14" s="11" t="s">
        <x:v>739</x:v>
      </x:c>
    </x:row>
    <x:row r="15" ht="95.5" hidden="0">
      <x:c r="A15" s="34" t="s">
        <x:v>730</x:v>
      </x:c>
      <x:c r="B15" s="20" t="n">
        <x:v>0.6</x:v>
      </x:c>
      <x:c r="C15" s="11" t="s">
        <x:v>740</x:v>
      </x:c>
    </x:row>
    <x:row r="16" ht="32.79999923706055" hidden="0" customHeight="1">
      <x:c r="A16" s="28" t="s">
        <x:v>741</x:v>
      </x:c>
      <x:c r="B16" s="28"/>
      <x:c r="C16" s="28"/>
    </x:row>
    <x:row r="18" ht="17.149999618530273" hidden="0" customHeight="1">
      <x:c r="A18" s="18" t="s">
        <x:v>742</x:v>
      </x:c>
      <x:c r="B18" s="18"/>
      <x:c r="C18" s="18"/>
      <x:c r="D18" s="18"/>
      <x:c r="E18" s="18"/>
    </x:row>
    <x:row r="19" ht="17.149999618530273" hidden="0">
      <x:c r="A19" s="7" t="s">
        <x:v>716</x:v>
      </x:c>
      <x:c r="B19" s="7" t="s">
        <x:v>743</x:v>
      </x:c>
      <x:c r="C19" s="7" t="s">
        <x:v>150</x:v>
      </x:c>
      <x:c r="D19" s="7" t="s">
        <x:v>744</x:v>
      </x:c>
      <x:c r="E19" s="7" t="s">
        <x:v>745</x:v>
      </x:c>
    </x:row>
    <x:row r="20" ht="17.149999618530273" hidden="0">
      <x:c r="A20" s="34" t="s">
        <x:v>719</x:v>
      </x:c>
      <x:c r="B20" s="19" t="n">
        <x:v>8401</x:v>
      </x:c>
      <x:c r="C20" s="21" t="s">
        <x:v>285</x:v>
      </x:c>
      <x:c r="D20" s="23" t="n">
        <x:v>0.3</x:v>
      </x:c>
      <x:c r="E20" s="26" t="s">
        <x:v>124</x:v>
      </x:c>
    </x:row>
    <x:row r="21" ht="17.149999618530273" hidden="0">
      <x:c r="A21" s="34" t="s">
        <x:v>719</x:v>
      </x:c>
      <x:c r="B21" s="19" t="n">
        <x:v>8402</x:v>
      </x:c>
      <x:c r="C21" s="21" t="s">
        <x:v>288</x:v>
      </x:c>
      <x:c r="D21" s="23" t="n">
        <x:v>0.15</x:v>
      </x:c>
      <x:c r="E21" s="26" t="s">
        <x:v>126</x:v>
      </x:c>
    </x:row>
    <x:row r="22" ht="17.149999618530273" hidden="0">
      <x:c r="A22" s="34" t="s">
        <x:v>722</x:v>
      </x:c>
      <x:c r="B22" s="19" t="n">
        <x:v>8403</x:v>
      </x:c>
      <x:c r="C22" s="21" t="s">
        <x:v>290</x:v>
      </x:c>
      <x:c r="D22" s="23" t="n">
        <x:v>0.3</x:v>
      </x:c>
      <x:c r="E22" s="26" t="s">
        <x:v>124</x:v>
      </x:c>
    </x:row>
    <x:row r="23" ht="17.149999618530273" hidden="0">
      <x:c r="A23" s="34" t="s">
        <x:v>722</x:v>
      </x:c>
      <x:c r="B23" s="19" t="n">
        <x:v>8404</x:v>
      </x:c>
      <x:c r="C23" s="21" t="s">
        <x:v>292</x:v>
      </x:c>
      <x:c r="D23" s="23" t="n">
        <x:v>0.15</x:v>
      </x:c>
      <x:c r="E23" s="26" t="s">
        <x:v>126</x:v>
      </x:c>
    </x:row>
    <x:row r="24" ht="17.149999618530273" hidden="0">
      <x:c r="A24" s="34" t="s">
        <x:v>726</x:v>
      </x:c>
      <x:c r="B24" s="19" t="n">
        <x:v>8405</x:v>
      </x:c>
      <x:c r="C24" s="21" t="s">
        <x:v>294</x:v>
      </x:c>
      <x:c r="D24" s="23" t="n">
        <x:v>0.3</x:v>
      </x:c>
      <x:c r="E24" s="26" t="s">
        <x:v>124</x:v>
      </x:c>
    </x:row>
    <x:row r="25" ht="17.149999618530273" hidden="0">
      <x:c r="A25" s="34" t="s">
        <x:v>726</x:v>
      </x:c>
      <x:c r="B25" s="19" t="n">
        <x:v>8406</x:v>
      </x:c>
      <x:c r="C25" s="21" t="s">
        <x:v>296</x:v>
      </x:c>
      <x:c r="D25" s="23" t="n">
        <x:v>0.15</x:v>
      </x:c>
      <x:c r="E25" s="26" t="s">
        <x:v>126</x:v>
      </x:c>
    </x:row>
    <x:row r="26" ht="17.149999618530273" hidden="0">
      <x:c r="A26" s="34" t="s">
        <x:v>730</x:v>
      </x:c>
      <x:c r="B26" s="19" t="n">
        <x:v>8407</x:v>
      </x:c>
      <x:c r="C26" s="21" t="s">
        <x:v>298</x:v>
      </x:c>
      <x:c r="D26" s="23" t="n">
        <x:v>0.3</x:v>
      </x:c>
      <x:c r="E26" s="26" t="s">
        <x:v>124</x:v>
      </x:c>
    </x:row>
    <x:row r="27" ht="17.149999618530273" hidden="0">
      <x:c r="A27" s="34" t="s">
        <x:v>730</x:v>
      </x:c>
      <x:c r="B27" s="19" t="n">
        <x:v>8408</x:v>
      </x:c>
      <x:c r="C27" s="21" t="s">
        <x:v>300</x:v>
      </x:c>
      <x:c r="D27" s="23" t="n">
        <x:v>0.15</x:v>
      </x:c>
      <x:c r="E27" s="26" t="s">
        <x:v>126</x:v>
      </x:c>
    </x:row>
  </x:sheetData>
  <x:mergeCells>
    <x:mergeCell ref="A2:E2"/>
    <x:mergeCell ref="A3:E3"/>
    <x:mergeCell ref="A10:E10"/>
    <x:mergeCell ref="A16:C16"/>
    <x:mergeCell ref="A18:E18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2" width="8" hidden="0" customWidth="1"/>
    <x:col min="3" max="3" width="10" hidden="0" customWidth="1"/>
    <x:col min="4" max="4" width="13" hidden="0" customWidth="1"/>
    <x:col min="5" max="5" width="12" hidden="0" customWidth="1"/>
    <x:col min="6" max="7" width="14" hidden="0" customWidth="1"/>
    <x:col min="8" max="9" width="12" hidden="0" customWidth="1"/>
    <x:col min="10" max="10" width="10" hidden="0" customWidth="1"/>
    <x:col min="11" max="11" width="20" hidden="0" customWidth="1"/>
  </x:cols>
  <x:sheetData>
    <x:row r="1" ht="17.350000381469727" hidden="0">
      <x:c r="A1" s="1" t="s">
        <x:v>746</x:v>
      </x:c>
    </x:row>
    <x:row r="2" ht="32.79999923706055" hidden="0" customHeight="1">
      <x:c r="A2" s="17" t="s">
        <x:v>747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3" ht="17.149999618530273" hidden="0">
      <x:c r="A3" s="7" t="s">
        <x:v>355</x:v>
      </x:c>
      <x:c r="B3" s="7" t="s">
        <x:v>748</x:v>
      </x:c>
      <x:c r="C3" s="7" t="s">
        <x:v>749</x:v>
      </x:c>
      <x:c r="D3" s="7" t="s">
        <x:v>750</x:v>
      </x:c>
      <x:c r="E3" s="7" t="s">
        <x:v>751</x:v>
      </x:c>
      <x:c r="F3" s="7" t="s">
        <x:v>752</x:v>
      </x:c>
      <x:c r="G3" s="7" t="s">
        <x:v>753</x:v>
      </x:c>
      <x:c r="H3" s="7" t="s">
        <x:v>754</x:v>
      </x:c>
      <x:c r="I3" s="7" t="s">
        <x:v>755</x:v>
      </x:c>
      <x:c r="J3" s="7" t="s">
        <x:v>276</x:v>
      </x:c>
      <x:c r="K3" s="7" t="s">
        <x:v>54</x:v>
      </x:c>
    </x:row>
    <x:row r="4" ht="17.149999618530273" hidden="0">
      <x:c r="A4" s="34" t="s">
        <x:v>199</x:v>
      </x:c>
      <x:c r="B4" s="10" t="s">
        <x:v>756</x:v>
      </x:c>
      <x:c r="C4" s="35" t="n">
        <x:v>1</x:v>
      </x:c>
      <x:c r="D4" s="19" t="s">
        <x:v>81</x:v>
      </x:c>
      <x:c r="E4" s="23" t="n">
        <x:v>0.05</x:v>
      </x:c>
      <x:c r="F4" s="23" t="n">
        <x:v>0.1</x:v>
      </x:c>
      <x:c r="G4" s="19" t="n">
        <x:v>5</x:v>
      </x:c>
      <x:c r="H4" s="19" t="s">
        <x:v>81</x:v>
      </x:c>
      <x:c r="I4" s="19" t="s">
        <x:v>81</x:v>
      </x:c>
      <x:c r="J4" s="26" t="s">
        <x:v>275</x:v>
      </x:c>
      <x:c r="K4" s="11" t="s">
        <x:v>757</x:v>
      </x:c>
    </x:row>
    <x:row r="5" ht="17.149999618530273" hidden="0">
      <x:c r="A5" s="34" t="s">
        <x:v>202</x:v>
      </x:c>
      <x:c r="B5" s="10" t="s">
        <x:v>758</x:v>
      </x:c>
      <x:c r="C5" s="35" t="n">
        <x:v>1.5</x:v>
      </x:c>
      <x:c r="D5" s="35" t="n">
        <x:v>0.1</x:v>
      </x:c>
      <x:c r="E5" s="23" t="n">
        <x:v>0.15</x:v>
      </x:c>
      <x:c r="F5" s="23" t="n">
        <x:v>0.3</x:v>
      </x:c>
      <x:c r="G5" s="19" t="n">
        <x:v>5</x:v>
      </x:c>
      <x:c r="H5" s="19" t="s">
        <x:v>81</x:v>
      </x:c>
      <x:c r="I5" s="19" t="s">
        <x:v>81</x:v>
      </x:c>
      <x:c r="J5" s="26" t="s">
        <x:v>275</x:v>
      </x:c>
      <x:c r="K5" s="11" t="s">
        <x:v>759</x:v>
      </x:c>
    </x:row>
    <x:row r="6" ht="32.79999923706055" hidden="0">
      <x:c r="A6" s="34" t="s">
        <x:v>208</x:v>
      </x:c>
      <x:c r="B6" s="10" t="s">
        <x:v>120</x:v>
      </x:c>
      <x:c r="C6" s="19" t="s">
        <x:v>81</x:v>
      </x:c>
      <x:c r="D6" s="19" t="s">
        <x:v>81</x:v>
      </x:c>
      <x:c r="E6" s="23" t="n">
        <x:v>0.15</x:v>
      </x:c>
      <x:c r="F6" s="21" t="s">
        <x:v>760</x:v>
      </x:c>
      <x:c r="G6" s="19" t="n">
        <x:v>3</x:v>
      </x:c>
      <x:c r="H6" s="23" t="n">
        <x:v>0.02</x:v>
      </x:c>
      <x:c r="I6" s="23" t="n">
        <x:v>0.1</x:v>
      </x:c>
      <x:c r="J6" s="26" t="s">
        <x:v>279</x:v>
      </x:c>
      <x:c r="K6" s="11" t="s">
        <x:v>761</x:v>
      </x:c>
    </x:row>
  </x:sheetData>
  <x:mergeCells>
    <x:mergeCell ref="A2:K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2" hidden="0" customWidth="1"/>
    <x:col min="2" max="2" width="12" hidden="0" customWidth="1"/>
    <x:col min="3" max="6" width="2" hidden="0" customWidth="1"/>
  </x:cols>
  <x:sheetData>
    <x:row r="1" ht="17.350000381469727" hidden="0">
      <x:c r="A1" s="1" t="s">
        <x:v>762</x:v>
      </x:c>
    </x:row>
    <x:row r="3" ht="48.5" hidden="0" customHeight="1">
      <x:c r="A3" s="36" t="s">
        <x:v>763</x:v>
      </x:c>
      <x:c r="B3" s="36"/>
      <x:c r="C3" s="36"/>
      <x:c r="D3" s="36"/>
      <x:c r="E3" s="36"/>
      <x:c r="F3" s="36"/>
    </x:row>
    <x:row r="4" ht="32.79999923706055" hidden="0" customHeight="1">
      <x:c r="A4" s="36" t="s">
        <x:v>764</x:v>
      </x:c>
      <x:c r="B4" s="36"/>
      <x:c r="C4" s="36"/>
      <x:c r="D4" s="36"/>
      <x:c r="E4" s="36"/>
      <x:c r="F4" s="36"/>
    </x:row>
    <x:row r="5" ht="17.149999618530273" hidden="0" customHeight="1">
      <x:c r="A5" s="36" t="s">
        <x:v>765</x:v>
      </x:c>
      <x:c r="B5" s="36"/>
      <x:c r="C5" s="36"/>
      <x:c r="D5" s="36"/>
      <x:c r="E5" s="36"/>
      <x:c r="F5" s="36"/>
    </x:row>
    <x:row r="6" ht="32.79999923706055" hidden="0" customHeight="1">
      <x:c r="A6" s="36" t="s">
        <x:v>766</x:v>
      </x:c>
      <x:c r="B6" s="36"/>
      <x:c r="C6" s="36"/>
      <x:c r="D6" s="36"/>
      <x:c r="E6" s="36"/>
      <x:c r="F6" s="36"/>
    </x:row>
    <x:row r="7" ht="48.5" hidden="0" customHeight="1">
      <x:c r="A7" s="36" t="s">
        <x:v>767</x:v>
      </x:c>
      <x:c r="B7" s="36"/>
      <x:c r="C7" s="36"/>
      <x:c r="D7" s="36"/>
      <x:c r="E7" s="36"/>
      <x:c r="F7" s="36"/>
    </x:row>
    <x:row r="8" ht="32.79999923706055" hidden="0" customHeight="1">
      <x:c r="A8" s="36" t="s">
        <x:v>768</x:v>
      </x:c>
      <x:c r="B8" s="36"/>
      <x:c r="C8" s="36"/>
      <x:c r="D8" s="36"/>
      <x:c r="E8" s="36"/>
      <x:c r="F8" s="36"/>
    </x:row>
    <x:row r="9" ht="32.79999923706055" hidden="0" customHeight="1">
      <x:c r="A9" s="36" t="s">
        <x:v>769</x:v>
      </x:c>
      <x:c r="B9" s="36"/>
      <x:c r="C9" s="36"/>
      <x:c r="D9" s="36"/>
      <x:c r="E9" s="36"/>
      <x:c r="F9" s="36"/>
    </x:row>
    <x:row r="10" ht="48.5" hidden="0" customHeight="1">
      <x:c r="A10" s="36" t="s">
        <x:v>770</x:v>
      </x:c>
      <x:c r="B10" s="36"/>
      <x:c r="C10" s="36"/>
      <x:c r="D10" s="36"/>
      <x:c r="E10" s="36"/>
      <x:c r="F10" s="36"/>
    </x:row>
    <x:row r="11" ht="48.5" hidden="0" customHeight="1">
      <x:c r="A11" s="36" t="s">
        <x:v>771</x:v>
      </x:c>
      <x:c r="B11" s="36"/>
      <x:c r="C11" s="36"/>
      <x:c r="D11" s="36"/>
      <x:c r="E11" s="36"/>
      <x:c r="F11" s="36"/>
    </x:row>
    <x:row r="12" ht="32.79999923706055" hidden="0" customHeight="1">
      <x:c r="A12" s="36" t="s">
        <x:v>772</x:v>
      </x:c>
      <x:c r="B12" s="36"/>
      <x:c r="C12" s="36"/>
      <x:c r="D12" s="36"/>
      <x:c r="E12" s="36"/>
      <x:c r="F12" s="36"/>
    </x:row>
    <x:row r="14" ht="32.79999923706055" hidden="0" customHeight="1">
      <x:c r="A14" s="18" t="s">
        <x:v>773</x:v>
      </x:c>
      <x:c r="B14" s="18"/>
      <x:c r="C14" s="18"/>
      <x:c r="D14" s="18"/>
      <x:c r="E14" s="18"/>
      <x:c r="F14" s="18"/>
    </x:row>
    <x:row r="15" ht="15" hidden="0">
      <x:c r="A15" s="7" t="s">
        <x:v>774</x:v>
      </x:c>
      <x:c r="B15" s="7" t="s">
        <x:v>52</x:v>
      </x:c>
    </x:row>
    <x:row r="16" ht="17.149999618530273" hidden="0">
      <x:c r="A16" s="11" t="s">
        <x:v>775</x:v>
      </x:c>
      <x:c r="B16" s="9" t="n">
        <x:v>160</x:v>
      </x:c>
    </x:row>
    <x:row r="17" ht="17.149999618530273" hidden="0">
      <x:c r="A17" s="11" t="s">
        <x:v>776</x:v>
      </x:c>
      <x:c r="B17" s="9" t="n">
        <x:v>100</x:v>
      </x:c>
    </x:row>
    <x:row r="18" ht="17.149999618530273" hidden="0">
      <x:c r="A18" s="11" t="s">
        <x:v>777</x:v>
      </x:c>
      <x:c r="B18" s="9" t="n">
        <x:v>120</x:v>
      </x:c>
    </x:row>
    <x:row r="19" ht="17.149999618530273" hidden="0">
      <x:c r="A19" s="11" t="s">
        <x:v>778</x:v>
      </x:c>
      <x:c r="B19" s="9" t="n">
        <x:v>1.5</x:v>
      </x:c>
    </x:row>
    <x:row r="20" ht="17.149999618530273" hidden="0">
      <x:c r="A20" s="11" t="s">
        <x:v>779</x:v>
      </x:c>
      <x:c r="B20" s="37" t="n">
        <x:f aca="0">B16^2/(B16+B17*B19)</x:f>
        <x:v>82.58064516129032</x:v>
      </x:c>
    </x:row>
    <x:row r="21" ht="17.149999618530273" hidden="0">
      <x:c r="A21" s="11" t="s">
        <x:v>780</x:v>
      </x:c>
      <x:c r="B21" s="37" t="n">
        <x:f aca="0">B16^2/(B16+(B17+B18)*B19)</x:f>
        <x:v>52.244897959183675</x:v>
      </x:c>
    </x:row>
    <x:row r="22" ht="17.149999618530273" hidden="0">
      <x:c r="A22" s="11" t="s">
        <x:v>781</x:v>
      </x:c>
      <x:c r="B22" s="38" t="n">
        <x:f aca="0">(B20-B21)/B20</x:f>
        <x:v>0.36734693877551017</x:v>
      </x:c>
    </x:row>
    <x:row r="23" ht="17.149999618530273" hidden="0">
      <x:c r="A23" s="11" t="s">
        <x:v>782</x:v>
      </x:c>
      <x:c r="B23" s="39" t="n">
        <x:v>1.5</x:v>
      </x:c>
    </x:row>
    <x:row r="24" ht="17.149999618530273" hidden="0">
      <x:c r="A24" s="11" t="s">
        <x:v>783</x:v>
      </x:c>
      <x:c r="B24" s="37" t="n">
        <x:f aca="0">B21*B23</x:f>
        <x:v>78.36734693877551</x:v>
      </x:c>
    </x:row>
  </x:sheetData>
  <x:mergeCells>
    <x:mergeCell ref="A3:F3"/>
    <x:mergeCell ref="A4:F4"/>
    <x:mergeCell ref="A5:F5"/>
    <x:mergeCell ref="A6:F6"/>
    <x:mergeCell ref="A7:F7"/>
    <x:mergeCell ref="A8:F8"/>
    <x:mergeCell ref="A9:F9"/>
    <x:mergeCell ref="A10:F10"/>
    <x:mergeCell ref="A11:F11"/>
    <x:mergeCell ref="A12:F12"/>
    <x:mergeCell ref="A14:F14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6" hidden="0" customWidth="1"/>
    <x:col min="2" max="2" width="52" hidden="0" customWidth="1"/>
    <x:col min="3" max="3" width="20" hidden="0" customWidth="1"/>
  </x:cols>
  <x:sheetData>
    <x:row r="1" ht="17.350000381469727" hidden="0">
      <x:c r="A1" s="1" t="s">
        <x:v>784</x:v>
      </x:c>
    </x:row>
    <x:row r="2" ht="32.79999923706055" hidden="0" customHeight="1">
      <x:c r="A2" s="40" t="s">
        <x:v>785</x:v>
      </x:c>
      <x:c r="B2" s="40"/>
      <x:c r="C2" s="40"/>
    </x:row>
    <x:row r="3" ht="15" hidden="0">
      <x:c r="A3" s="24" t="s">
        <x:v>786</x:v>
      </x:c>
      <x:c r="B3" s="7" t="s">
        <x:v>787</x:v>
      </x:c>
      <x:c r="C3" s="7" t="s">
        <x:v>54</x:v>
      </x:c>
    </x:row>
    <x:row r="4" ht="32.79999923706055" hidden="0">
      <x:c r="A4" s="8" t="s">
        <x:v>788</x:v>
      </x:c>
      <x:c r="B4" s="41" t="s">
        <x:v>789</x:v>
      </x:c>
      <x:c r="C4" s="11" t="s">
        <x:v>790</x:v>
      </x:c>
    </x:row>
    <x:row r="5" ht="26.850000381469727" hidden="0">
      <x:c r="A5" s="8" t="s">
        <x:v>791</x:v>
      </x:c>
      <x:c r="B5" s="41" t="s">
        <x:v>792</x:v>
      </x:c>
      <x:c r="C5" s="11" t="s">
        <x:v>793</x:v>
      </x:c>
    </x:row>
    <x:row r="6" ht="32.79999923706055" hidden="0">
      <x:c r="A6" s="8" t="s">
        <x:v>794</x:v>
      </x:c>
      <x:c r="B6" s="25" t="s">
        <x:v>795</x:v>
      </x:c>
      <x:c r="C6" s="11" t="s">
        <x:v>796</x:v>
      </x:c>
    </x:row>
    <x:row r="7" ht="17.149999618530273" hidden="0">
      <x:c r="A7" s="8" t="s">
        <x:v>797</x:v>
      </x:c>
      <x:c r="B7" s="25" t="s">
        <x:v>798</x:v>
      </x:c>
      <x:c r="C7" s="11" t="s">
        <x:v>799</x:v>
      </x:c>
    </x:row>
    <x:row r="8" ht="17.149999618530273" hidden="0">
      <x:c r="A8" s="8" t="s">
        <x:v>800</x:v>
      </x:c>
      <x:c r="B8" s="41" t="s">
        <x:v>801</x:v>
      </x:c>
      <x:c r="C8" s="11" t="s">
        <x:v>802</x:v>
      </x:c>
    </x:row>
    <x:row r="9" ht="17.149999618530273" hidden="0">
      <x:c r="A9" s="8" t="s">
        <x:v>803</x:v>
      </x:c>
      <x:c r="B9" s="25" t="s">
        <x:v>804</x:v>
      </x:c>
      <x:c r="C9" s="11" t="s">
        <x:v>805</x:v>
      </x:c>
    </x:row>
    <x:row r="10" ht="17.149999618530273" hidden="0">
      <x:c r="A10" s="8" t="s">
        <x:v>806</x:v>
      </x:c>
      <x:c r="B10" s="25" t="s">
        <x:v>807</x:v>
      </x:c>
      <x:c r="C10" s="11" t="s">
        <x:v>808</x:v>
      </x:c>
    </x:row>
    <x:row r="11" ht="17.149999618530273" hidden="0">
      <x:c r="A11" s="8" t="s">
        <x:v>809</x:v>
      </x:c>
      <x:c r="B11" s="25" t="s">
        <x:v>810</x:v>
      </x:c>
      <x:c r="C11" s="11" t="s">
        <x:v>811</x:v>
      </x:c>
    </x:row>
    <x:row r="12" ht="26.850000381469727" hidden="0">
      <x:c r="A12" s="8" t="s">
        <x:v>812</x:v>
      </x:c>
      <x:c r="B12" s="25" t="s">
        <x:v>813</x:v>
      </x:c>
      <x:c r="C12" s="11" t="s">
        <x:v>814</x:v>
      </x:c>
    </x:row>
    <x:row r="13" ht="26.850000381469727" hidden="0">
      <x:c r="A13" s="8" t="s">
        <x:v>815</x:v>
      </x:c>
      <x:c r="B13" s="25" t="s">
        <x:v>816</x:v>
      </x:c>
      <x:c r="C13" s="11" t="s">
        <x:v>817</x:v>
      </x:c>
    </x:row>
    <x:row r="14" ht="17.149999618530273" hidden="0">
      <x:c r="A14" s="8" t="s">
        <x:v>818</x:v>
      </x:c>
      <x:c r="B14" s="25" t="s">
        <x:v>819</x:v>
      </x:c>
      <x:c r="C14" s="11" t="s">
        <x:v>820</x:v>
      </x:c>
    </x:row>
    <x:row r="15" ht="17.149999618530273" hidden="0">
      <x:c r="A15" s="8" t="s">
        <x:v>821</x:v>
      </x:c>
      <x:c r="B15" s="41" t="s">
        <x:v>822</x:v>
      </x:c>
      <x:c r="C15" s="11" t="s">
        <x:v>823</x:v>
      </x:c>
    </x:row>
    <x:row r="16" ht="17.149999618530273" hidden="0">
      <x:c r="A16" s="8" t="s">
        <x:v>824</x:v>
      </x:c>
      <x:c r="B16" s="41" t="s">
        <x:v>825</x:v>
      </x:c>
      <x:c r="C16" s="11" t="s">
        <x:v>826</x:v>
      </x:c>
    </x:row>
    <x:row r="17" ht="17.149999618530273" hidden="0">
      <x:c r="A17" s="8" t="s">
        <x:v>827</x:v>
      </x:c>
      <x:c r="B17" s="25" t="s">
        <x:v>828</x:v>
      </x:c>
      <x:c r="C17" s="11" t="s">
        <x:v>829</x:v>
      </x:c>
    </x:row>
    <x:row r="18" ht="17.149999618530273" hidden="0">
      <x:c r="A18" s="8" t="s">
        <x:v>830</x:v>
      </x:c>
      <x:c r="B18" s="25" t="s">
        <x:v>831</x:v>
      </x:c>
      <x:c r="C18" s="11" t="s">
        <x:v>467</x:v>
      </x:c>
    </x:row>
    <x:row r="19" ht="17.149999618530273" hidden="0">
      <x:c r="A19" s="8" t="s">
        <x:v>832</x:v>
      </x:c>
      <x:c r="B19" s="25" t="s">
        <x:v>833</x:v>
      </x:c>
      <x:c r="C19" s="11" t="s">
        <x:v>834</x:v>
      </x:c>
    </x:row>
    <x:row r="21" ht="17.149999618530273" hidden="0" customHeight="1">
      <x:c r="A21" s="28" t="s">
        <x:v>835</x:v>
      </x:c>
      <x:c r="B21" s="28"/>
      <x:c r="C21" s="28"/>
    </x:row>
  </x:sheetData>
  <x:mergeCells>
    <x:mergeCell ref="A2:C2"/>
    <x:mergeCell ref="A21:C2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6" hidden="0" customWidth="1"/>
    <x:col min="2" max="2" width="20" hidden="0" customWidth="1"/>
    <x:col min="3" max="3" width="12" hidden="0" customWidth="1"/>
  </x:cols>
  <x:sheetData>
    <x:row r="1" ht="21.600000381469727" hidden="0">
      <x:c r="A1" s="1" t="s">
        <x:v>836</x:v>
      </x:c>
    </x:row>
    <x:row r="2" ht="48.5" hidden="0" customHeight="1">
      <x:c r="A2" s="17" t="s">
        <x:v>837</x:v>
      </x:c>
      <x:c r="B2" s="17"/>
      <x:c r="C2" s="17"/>
      <x:c r="D2" s="17"/>
    </x:row>
    <x:row r="3" ht="17.149999618530273" hidden="0" customHeight="1">
      <x:c r="A3" s="18" t="s">
        <x:v>838</x:v>
      </x:c>
      <x:c r="B3" s="18"/>
      <x:c r="C3" s="18"/>
      <x:c r="D3" s="18"/>
    </x:row>
    <x:row r="4" ht="15" hidden="0">
      <x:c r="A4" s="7" t="s">
        <x:v>839</x:v>
      </x:c>
      <x:c r="B4" s="7" t="s">
        <x:v>52</x:v>
      </x:c>
      <x:c r="C4" s="7" t="s">
        <x:v>54</x:v>
      </x:c>
    </x:row>
    <x:row r="5" ht="32.79999923706055" hidden="0">
      <x:c r="A5" s="18" t="s">
        <x:v>840</x:v>
      </x:c>
      <x:c r="B5" s="12" t="s">
        <x:v>841</x:v>
      </x:c>
      <x:c r="C5" s="11" t="s">
        <x:v>842</x:v>
      </x:c>
    </x:row>
    <x:row r="6" ht="48.5" hidden="0">
      <x:c r="A6" s="18" t="s">
        <x:v>843</x:v>
      </x:c>
      <x:c r="B6" s="12" t="s">
        <x:v>124</x:v>
      </x:c>
      <x:c r="C6" s="11" t="s">
        <x:v>844</x:v>
      </x:c>
    </x:row>
    <x:row r="7" ht="32.79999923706055" hidden="0">
      <x:c r="A7" s="18" t="s">
        <x:v>845</x:v>
      </x:c>
      <x:c r="B7" s="9" t="s">
        <x:v>846</x:v>
      </x:c>
      <x:c r="C7" s="30" t="s">
        <x:v>847</x:v>
      </x:c>
    </x:row>
    <x:row r="8" ht="48.5" hidden="0">
      <x:c r="A8" s="18" t="s">
        <x:v>848</x:v>
      </x:c>
      <x:c r="B8" s="12" t="s">
        <x:v>849</x:v>
      </x:c>
      <x:c r="C8" s="11" t="s">
        <x:v>850</x:v>
      </x:c>
    </x:row>
    <x:row r="9" ht="48.5" hidden="0">
      <x:c r="A9" s="18" t="s">
        <x:v>851</x:v>
      </x:c>
      <x:c r="B9" s="12" t="s">
        <x:v>852</x:v>
      </x:c>
      <x:c r="C9" s="11" t="s">
        <x:v>853</x:v>
      </x:c>
    </x:row>
    <x:row r="11" ht="17.149999618530273" hidden="0" customHeight="1">
      <x:c r="A11" s="18" t="s">
        <x:v>854</x:v>
      </x:c>
      <x:c r="B11" s="18"/>
      <x:c r="C11" s="18"/>
    </x:row>
    <x:row r="12" ht="15" hidden="0">
      <x:c r="A12" s="24" t="s">
        <x:v>446</x:v>
      </x:c>
      <x:c r="B12" s="7" t="s">
        <x:v>150</x:v>
      </x:c>
      <x:c r="C12" s="7" t="s">
        <x:v>855</x:v>
      </x:c>
    </x:row>
    <x:row r="13" ht="17.149999618530273" hidden="0">
      <x:c r="A13" s="9" t="n">
        <x:v>9301</x:v>
      </x:c>
      <x:c r="B13" s="21" t="s">
        <x:v>492</x:v>
      </x:c>
      <x:c r="C13" s="19" t="n">
        <x:v>30</x:v>
      </x:c>
    </x:row>
    <x:row r="14" ht="17.149999618530273" hidden="0">
      <x:c r="A14" s="9" t="n">
        <x:v>9302</x:v>
      </x:c>
      <x:c r="B14" s="21" t="s">
        <x:v>497</x:v>
      </x:c>
      <x:c r="C14" s="19" t="n">
        <x:v>25</x:v>
      </x:c>
    </x:row>
    <x:row r="15" ht="17.149999618530273" hidden="0">
      <x:c r="A15" s="9" t="n">
        <x:v>9303</x:v>
      </x:c>
      <x:c r="B15" s="21" t="s">
        <x:v>499</x:v>
      </x:c>
      <x:c r="C15" s="19" t="n">
        <x:v>20</x:v>
      </x:c>
    </x:row>
    <x:row r="16" ht="17.149999618530273" hidden="0">
      <x:c r="A16" s="9" t="n">
        <x:v>9304</x:v>
      </x:c>
      <x:c r="B16" s="21" t="s">
        <x:v>501</x:v>
      </x:c>
      <x:c r="C16" s="19" t="n">
        <x:v>15</x:v>
      </x:c>
    </x:row>
    <x:row r="17" ht="17.149999618530273" hidden="0">
      <x:c r="A17" s="9" t="n">
        <x:v>9305</x:v>
      </x:c>
      <x:c r="B17" s="21" t="s">
        <x:v>503</x:v>
      </x:c>
      <x:c r="C17" s="19" t="n">
        <x:v>5</x:v>
      </x:c>
    </x:row>
    <x:row r="19" ht="17.149999618530273" hidden="0" customHeight="1">
      <x:c r="A19" s="18" t="s">
        <x:v>856</x:v>
      </x:c>
      <x:c r="B19" s="18"/>
      <x:c r="C19" s="18"/>
    </x:row>
    <x:row r="20" ht="15" hidden="0">
      <x:c r="A20" s="24" t="s">
        <x:v>175</x:v>
      </x:c>
      <x:c r="B20" s="7" t="s">
        <x:v>150</x:v>
      </x:c>
      <x:c r="C20" s="7" t="s">
        <x:v>73</x:v>
      </x:c>
    </x:row>
    <x:row r="21" ht="17.149999618530273" hidden="0">
      <x:c r="A21" s="9" t="n">
        <x:v>5001</x:v>
      </x:c>
      <x:c r="B21" s="21" t="s">
        <x:v>224</x:v>
      </x:c>
      <x:c r="C21" s="23" t="n">
        <x:v>0.1</x:v>
      </x:c>
    </x:row>
    <x:row r="22" ht="17.149999618530273" hidden="0">
      <x:c r="A22" s="9" t="n">
        <x:v>8004</x:v>
      </x:c>
      <x:c r="B22" s="21" t="s">
        <x:v>159</x:v>
      </x:c>
      <x:c r="C22" s="23" t="n">
        <x:v>0.15</x:v>
      </x:c>
    </x:row>
    <x:row r="23" ht="17.149999618530273" hidden="0">
      <x:c r="A23" s="9" t="n">
        <x:v>8005</x:v>
      </x:c>
      <x:c r="B23" s="21" t="s">
        <x:v>160</x:v>
      </x:c>
      <x:c r="C23" s="23" t="n">
        <x:v>0.08</x:v>
      </x:c>
    </x:row>
    <x:row r="24" ht="17.149999618530273" hidden="0">
      <x:c r="A24" s="9" t="n">
        <x:v>7103</x:v>
      </x:c>
      <x:c r="B24" s="21" t="s">
        <x:v>273</x:v>
      </x:c>
      <x:c r="C24" s="23" t="n">
        <x:v>0.2</x:v>
      </x:c>
    </x:row>
    <x:row r="25" ht="17.149999618530273" hidden="0">
      <x:c r="A25" s="9" t="n">
        <x:v>8407</x:v>
      </x:c>
      <x:c r="B25" s="21" t="s">
        <x:v>298</x:v>
      </x:c>
      <x:c r="C25" s="23" t="n">
        <x:v>0.15</x:v>
      </x:c>
    </x:row>
    <x:row r="26" ht="17.149999618530273" hidden="0">
      <x:c r="A26" s="9" t="n">
        <x:v>5003</x:v>
      </x:c>
      <x:c r="B26" s="21" t="s">
        <x:v>232</x:v>
      </x:c>
      <x:c r="C26" s="23" t="n">
        <x:v>0.03</x:v>
      </x:c>
    </x:row>
  </x:sheetData>
  <x:mergeCells>
    <x:mergeCell ref="A2:D2"/>
    <x:mergeCell ref="A3:D3"/>
    <x:mergeCell ref="A11:C11"/>
    <x:mergeCell ref="A19:C19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8" hidden="0" customWidth="1"/>
    <x:col min="2" max="2" width="22" hidden="0" customWidth="1"/>
    <x:col min="3" max="3" width="34" hidden="0" customWidth="1"/>
  </x:cols>
  <x:sheetData>
    <x:row r="1" ht="17.350000381469727" hidden="0">
      <x:c r="A1" s="1" t="s">
        <x:v>857</x:v>
      </x:c>
    </x:row>
    <x:row r="2" ht="17.149999618530273" hidden="0" customHeight="1">
      <x:c r="A2" s="17" t="s">
        <x:v>858</x:v>
      </x:c>
      <x:c r="B2" s="17"/>
      <x:c r="C2" s="17"/>
    </x:row>
    <x:row r="3" ht="17.149999618530273" hidden="0" customHeight="1">
      <x:c r="A3" s="18" t="s">
        <x:v>859</x:v>
      </x:c>
      <x:c r="B3" s="18"/>
      <x:c r="C3" s="18"/>
    </x:row>
    <x:row r="4" ht="17.149999618530273" hidden="0">
      <x:c r="A4" s="7" t="s">
        <x:v>860</x:v>
      </x:c>
      <x:c r="B4" s="7" t="s">
        <x:v>861</x:v>
      </x:c>
      <x:c r="C4" s="7" t="s">
        <x:v>54</x:v>
      </x:c>
    </x:row>
    <x:row r="5" ht="17.149999618530273" hidden="0">
      <x:c r="A5" s="18" t="s">
        <x:v>862</x:v>
      </x:c>
      <x:c r="B5" s="9" t="s">
        <x:v>863</x:v>
      </x:c>
      <x:c r="C5" s="11" t="s">
        <x:v>864</x:v>
      </x:c>
    </x:row>
    <x:row r="6" ht="17.149999618530273" hidden="0">
      <x:c r="A6" s="18" t="s">
        <x:v>865</x:v>
      </x:c>
      <x:c r="B6" s="12" t="s">
        <x:v>124</x:v>
      </x:c>
      <x:c r="C6" s="11" t="s">
        <x:v>866</x:v>
      </x:c>
    </x:row>
    <x:row r="7" ht="17.149999618530273" hidden="0">
      <x:c r="A7" s="18" t="s">
        <x:v>867</x:v>
      </x:c>
      <x:c r="B7" s="9" t="s">
        <x:v>409</x:v>
      </x:c>
      <x:c r="C7" s="11" t="s">
        <x:v>868</x:v>
      </x:c>
    </x:row>
    <x:row r="8" ht="17.149999618530273" hidden="0">
      <x:c r="A8" s="18" t="s">
        <x:v>869</x:v>
      </x:c>
      <x:c r="B8" s="12" t="s">
        <x:v>870</x:v>
      </x:c>
      <x:c r="C8" s="11" t="s">
        <x:v>871</x:v>
      </x:c>
    </x:row>
    <x:row r="9" ht="17.149999618530273" hidden="0">
      <x:c r="A9" s="18" t="s">
        <x:v>872</x:v>
      </x:c>
      <x:c r="B9" s="12" t="s">
        <x:v>873</x:v>
      </x:c>
      <x:c r="C9" s="11" t="s">
        <x:v>874</x:v>
      </x:c>
    </x:row>
    <x:row r="11" ht="17.149999618530273" hidden="0" customHeight="1">
      <x:c r="A11" s="18" t="s">
        <x:v>875</x:v>
      </x:c>
      <x:c r="B11" s="18"/>
      <x:c r="C11" s="18"/>
    </x:row>
    <x:row r="12" ht="17.149999618530273" hidden="0">
      <x:c r="A12" s="7" t="s">
        <x:v>860</x:v>
      </x:c>
      <x:c r="B12" s="7" t="s">
        <x:v>861</x:v>
      </x:c>
      <x:c r="C12" s="7" t="s">
        <x:v>54</x:v>
      </x:c>
    </x:row>
    <x:row r="13" ht="17.149999618530273" hidden="0">
      <x:c r="A13" s="18" t="s">
        <x:v>876</x:v>
      </x:c>
      <x:c r="B13" s="12" t="s">
        <x:v>877</x:v>
      </x:c>
      <x:c r="C13" s="11" t="s">
        <x:v>878</x:v>
      </x:c>
    </x:row>
    <x:row r="14" ht="17.149999618530273" hidden="0">
      <x:c r="A14" s="18" t="s">
        <x:v>879</x:v>
      </x:c>
      <x:c r="B14" s="9" t="s">
        <x:v>880</x:v>
      </x:c>
      <x:c r="C14" s="11" t="s">
        <x:v>881</x:v>
      </x:c>
    </x:row>
    <x:row r="15" ht="17.149999618530273" hidden="0">
      <x:c r="A15" s="18" t="s">
        <x:v>882</x:v>
      </x:c>
      <x:c r="B15" s="12" t="s">
        <x:v>883</x:v>
      </x:c>
      <x:c r="C15" s="11" t="s">
        <x:v>884</x:v>
      </x:c>
    </x:row>
  </x:sheetData>
  <x:mergeCells>
    <x:mergeCell ref="A2:C2"/>
    <x:mergeCell ref="A3:C3"/>
    <x:mergeCell ref="A11:C1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8" hidden="0" customWidth="1"/>
    <x:col min="2" max="2" width="18" hidden="0" customWidth="1"/>
    <x:col min="3" max="3" width="24" hidden="0" customWidth="1"/>
  </x:cols>
  <x:sheetData>
    <x:row r="1" ht="17.350000381469727" hidden="0">
      <x:c r="A1" s="1" t="s">
        <x:v>885</x:v>
      </x:c>
    </x:row>
    <x:row r="2" ht="32.79999923706055" hidden="0" customHeight="1">
      <x:c r="A2" s="17" t="s">
        <x:v>886</x:v>
      </x:c>
      <x:c r="B2" s="17"/>
      <x:c r="C2" s="17"/>
    </x:row>
    <x:row r="3" ht="15" hidden="0">
      <x:c r="A3" s="7" t="s">
        <x:v>424</x:v>
      </x:c>
      <x:c r="B3" s="7" t="s">
        <x:v>887</x:v>
      </x:c>
      <x:c r="C3" s="7" t="s">
        <x:v>54</x:v>
      </x:c>
    </x:row>
    <x:row r="4" ht="17.149999618530273" hidden="0">
      <x:c r="A4" s="34" t="s">
        <x:v>428</x:v>
      </x:c>
      <x:c r="B4" s="11" t="s">
        <x:v>888</x:v>
      </x:c>
      <x:c r="C4" s="11" t="s">
        <x:v>889</x:v>
      </x:c>
    </x:row>
    <x:row r="5" ht="17.149999618530273" hidden="0">
      <x:c r="A5" s="34" t="s">
        <x:v>890</x:v>
      </x:c>
      <x:c r="B5" s="11" t="s">
        <x:v>891</x:v>
      </x:c>
      <x:c r="C5" s="11" t="s">
        <x:v>892</x:v>
      </x:c>
    </x:row>
    <x:row r="6" ht="17.149999618530273" hidden="0">
      <x:c r="A6" s="34" t="s">
        <x:v>893</x:v>
      </x:c>
      <x:c r="B6" s="11" t="s">
        <x:v>894</x:v>
      </x:c>
      <x:c r="C6" s="11" t="s">
        <x:v>889</x:v>
      </x:c>
    </x:row>
    <x:row r="7" ht="17.149999618530273" hidden="0">
      <x:c r="A7" s="34" t="s">
        <x:v>895</x:v>
      </x:c>
      <x:c r="B7" s="11" t="s">
        <x:v>896</x:v>
      </x:c>
      <x:c r="C7" s="11" t="s">
        <x:v>889</x:v>
      </x:c>
    </x:row>
    <x:row r="8" ht="17.149999618530273" hidden="0">
      <x:c r="A8" s="34" t="s">
        <x:v>897</x:v>
      </x:c>
      <x:c r="B8" s="11" t="s">
        <x:v>898</x:v>
      </x:c>
      <x:c r="C8" s="11" t="s">
        <x:v>889</x:v>
      </x:c>
    </x:row>
  </x:sheetData>
  <x:mergeCells>
    <x:mergeCell ref="A2:C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22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88" t="str">
        <x:v>Xianxia Engine V1｜Excel → JSON 匯出規格</x:v>
      </x:c>
      <x:c r="B1" s="88"/>
      <x:c r="C1" s="88"/>
      <x:c r="D1" s="88"/>
      <x:c r="E1" s="88"/>
      <x:c r="F1" s="88"/>
      <x:c r="G1" s="88"/>
      <x:c r="H1" s="88"/>
    </x:row>
    <x:row r="2">
      <x:c r="A2" s="140" t="str">
        <x:v>本表定義 Excel 後台與遊戲引擎的唯一資料流。新增/調整既有類別只改 Excel；只有新增全新機制動詞才修改引擎。</x:v>
      </x:c>
      <x:c r="B2" s="140"/>
      <x:c r="C2" s="140"/>
      <x:c r="D2" s="140"/>
      <x:c r="E2" s="140"/>
      <x:c r="F2" s="140"/>
      <x:c r="G2" s="140"/>
      <x:c r="H2" s="140"/>
    </x:row>
    <x:row r="4">
      <x:c r="A4" s="145" t="str">
        <x:v>序號</x:v>
      </x:c>
      <x:c r="B4" s="145" t="str">
        <x:v>Excel分頁</x:v>
      </x:c>
      <x:c r="C4" s="145" t="str">
        <x:v>JSON節點</x:v>
      </x:c>
      <x:c r="D4" s="145" t="str">
        <x:v>資料用途</x:v>
      </x:c>
      <x:c r="E4" s="145" t="str">
        <x:v>新增列免改程式</x:v>
      </x:c>
      <x:c r="F4" s="145" t="str">
        <x:v>目前引擎狀態</x:v>
      </x:c>
      <x:c r="G4" s="145" t="str">
        <x:v>優先級</x:v>
      </x:c>
      <x:c r="H4" s="145" t="str">
        <x:v>備註</x:v>
      </x:c>
    </x:row>
    <x:row r="5">
      <x:c r="A5" s="149" t="n">
        <x:v>1</x:v>
      </x:c>
      <x:c r="B5" s="149" t="str">
        <x:v>系統參數</x:v>
      </x:c>
      <x:c r="C5" s="149" t="str">
        <x:v>params</x:v>
      </x:c>
      <x:c r="D5" s="149" t="str">
        <x:v>全域成本、回復、地圖尺寸與共用係數</x:v>
      </x:c>
      <x:c r="E5" s="149" t="str">
        <x:v>是</x:v>
      </x:c>
      <x:c r="F5" s="149" t="str">
        <x:v>部分已接</x:v>
      </x:c>
      <x:c r="G5" s="149" t="str">
        <x:v>P0</x:v>
      </x:c>
      <x:c r="H5" s="149" t="str">
        <x:v>移除HTML寫死值</x:v>
      </x:c>
    </x:row>
    <x:row r="6">
      <x:c r="A6" s="149" t="n">
        <x:v>2</x:v>
      </x:c>
      <x:c r="B6" s="149" t="str">
        <x:v>境界表</x:v>
      </x:c>
      <x:c r="C6" s="149" t="str">
        <x:v>realms</x:v>
      </x:c>
      <x:c r="D6" s="149" t="str">
        <x:v>等級、境界、經驗與四維</x:v>
      </x:c>
      <x:c r="E6" s="149" t="str">
        <x:v>是</x:v>
      </x:c>
      <x:c r="F6" s="149" t="str">
        <x:v>已接但內嵌</x:v>
      </x:c>
      <x:c r="G6" s="149" t="str">
        <x:v>P0</x:v>
      </x:c>
      <x:c r="H6" s="149" t="str">
        <x:v>改為外部config讀取</x:v>
      </x:c>
    </x:row>
    <x:row r="7">
      <x:c r="A7" s="149" t="n">
        <x:v>3</x:v>
      </x:c>
      <x:c r="B7" s="149" t="str">
        <x:v>突破表</x:v>
      </x:c>
      <x:c r="C7" s="149" t="str">
        <x:v>breakthrough</x:v>
      </x:c>
      <x:c r="D7" s="149" t="str">
        <x:v>突破基礎率與丹藥增益</x:v>
      </x:c>
      <x:c r="E7" s="149" t="str">
        <x:v>是</x:v>
      </x:c>
      <x:c r="F7" s="149" t="str">
        <x:v>部分已接</x:v>
      </x:c>
      <x:c r="G7" s="149" t="str">
        <x:v>P1</x:v>
      </x:c>
      <x:c r="H7" s="149" t="str">
        <x:v>區域加成需接入</x:v>
      </x:c>
    </x:row>
    <x:row r="8">
      <x:c r="A8" s="149" t="n">
        <x:v>4</x:v>
      </x:c>
      <x:c r="B8" s="149" t="str">
        <x:v>境界能力</x:v>
      </x:c>
      <x:c r="C8" s="149" t="str">
        <x:v>realmAbilities</x:v>
      </x:c>
      <x:c r="D8" s="149" t="str">
        <x:v>移動格數、壽元、神識、逃跑</x:v>
      </x:c>
      <x:c r="E8" s="149" t="str">
        <x:v>是</x:v>
      </x:c>
      <x:c r="F8" s="149" t="str">
        <x:v>未完整接</x:v>
      </x:c>
      <x:c r="G8" s="149" t="str">
        <x:v>P1</x:v>
      </x:c>
      <x:c r="H8" s="149" t="str"/>
    </x:row>
    <x:row r="9">
      <x:c r="A9" s="149" t="n">
        <x:v>5</x:v>
      </x:c>
      <x:c r="B9" s="149" t="str">
        <x:v>物品表</x:v>
      </x:c>
      <x:c r="C9" s="149" t="str">
        <x:v>items</x:v>
      </x:c>
      <x:c r="D9" s="149" t="str">
        <x:v>物品、裝備、材料與效果類型</x:v>
      </x:c>
      <x:c r="E9" s="149" t="str">
        <x:v>是</x:v>
      </x:c>
      <x:c r="F9" s="149" t="str">
        <x:v>已接但欄位未完整</x:v>
      </x:c>
      <x:c r="G9" s="149" t="str">
        <x:v>P0</x:v>
      </x:c>
      <x:c r="H9" s="149" t="str">
        <x:v>裝備槽與強化需資料化</x:v>
      </x:c>
    </x:row>
    <x:row r="10">
      <x:c r="A10" s="149" t="n">
        <x:v>6</x:v>
      </x:c>
      <x:c r="B10" s="149" t="str">
        <x:v>合成表</x:v>
      </x:c>
      <x:c r="C10" s="149" t="str">
        <x:v>recipes</x:v>
      </x:c>
      <x:c r="D10" s="149" t="str">
        <x:v>煉丹、煉器與圖紙條件</x:v>
      </x:c>
      <x:c r="E10" s="149" t="str">
        <x:v>是</x:v>
      </x:c>
      <x:c r="F10" s="149" t="str">
        <x:v>未完整接</x:v>
      </x:c>
      <x:c r="G10" s="149" t="str">
        <x:v>P1</x:v>
      </x:c>
      <x:c r="H10" s="149" t="str"/>
    </x:row>
    <x:row r="11">
      <x:c r="A11" s="149" t="n">
        <x:v>7</x:v>
      </x:c>
      <x:c r="B11" s="149" t="str">
        <x:v>效果類型</x:v>
      </x:c>
      <x:c r="C11" s="149" t="str">
        <x:v>effectTypes</x:v>
      </x:c>
      <x:c r="D11" s="149" t="str">
        <x:v>引擎支援的機制動詞字典</x:v>
      </x:c>
      <x:c r="E11" s="149" t="str">
        <x:v>同類是</x:v>
      </x:c>
      <x:c r="F11" s="149" t="str">
        <x:v>部分接入</x:v>
      </x:c>
      <x:c r="G11" s="149" t="str">
        <x:v>P0</x:v>
      </x:c>
      <x:c r="H11" s="149" t="str">
        <x:v>引擎核心</x:v>
      </x:c>
    </x:row>
    <x:row r="12">
      <x:c r="A12" s="149" t="n">
        <x:v>8</x:v>
      </x:c>
      <x:c r="B12" s="149" t="str">
        <x:v>狀態效果</x:v>
      </x:c>
      <x:c r="C12" s="149" t="str">
        <x:v>statusEffects</x:v>
      </x:c>
      <x:c r="D12" s="149" t="str">
        <x:v>Buff/Debuff資料字典</x:v>
      </x:c>
      <x:c r="E12" s="149" t="str">
        <x:v>是</x:v>
      </x:c>
      <x:c r="F12" s="149" t="str">
        <x:v>部分接入</x:v>
      </x:c>
      <x:c r="G12" s="149" t="str">
        <x:v>P1</x:v>
      </x:c>
      <x:c r="H12" s="149" t="str"/>
    </x:row>
    <x:row r="13">
      <x:c r="A13" s="149" t="n">
        <x:v>9</x:v>
      </x:c>
      <x:c r="B13" s="149" t="str">
        <x:v>受傷部位</x:v>
      </x:c>
      <x:c r="C13" s="149" t="str">
        <x:v>injuries</x:v>
      </x:c>
      <x:c r="D13" s="149" t="str">
        <x:v>部位傷勢與療傷成本</x:v>
      </x:c>
      <x:c r="E13" s="149" t="str">
        <x:v>是</x:v>
      </x:c>
      <x:c r="F13" s="149" t="str">
        <x:v>部分接入</x:v>
      </x:c>
      <x:c r="G13" s="149" t="str">
        <x:v>P1</x:v>
      </x:c>
      <x:c r="H13" s="149" t="str"/>
    </x:row>
    <x:row r="14">
      <x:c r="A14" s="149" t="n">
        <x:v>10</x:v>
      </x:c>
      <x:c r="B14" s="149" t="str">
        <x:v>怪物表</x:v>
      </x:c>
      <x:c r="C14" s="149" t="str">
        <x:v>monsters</x:v>
      </x:c>
      <x:c r="D14" s="149" t="str">
        <x:v>怪物數值、掉落與出沒規則</x:v>
      </x:c>
      <x:c r="E14" s="149" t="str">
        <x:v>是</x:v>
      </x:c>
      <x:c r="F14" s="149" t="str">
        <x:v>數值已接/區域未接</x:v>
      </x:c>
      <x:c r="G14" s="149" t="str">
        <x:v>P0</x:v>
      </x:c>
      <x:c r="H14" s="149" t="str">
        <x:v>不得再寫死區域池</x:v>
      </x:c>
    </x:row>
    <x:row r="15">
      <x:c r="A15" s="149" t="n">
        <x:v>11</x:v>
      </x:c>
      <x:c r="B15" s="149" t="str">
        <x:v>世界事件</x:v>
      </x:c>
      <x:c r="C15" s="149" t="str">
        <x:v>worldEvents</x:v>
      </x:c>
      <x:c r="D15" s="149" t="str">
        <x:v>黑雲、獸潮、魔界降臨等</x:v>
      </x:c>
      <x:c r="E15" s="149" t="str">
        <x:v>是</x:v>
      </x:c>
      <x:c r="F15" s="149" t="str">
        <x:v>未完整接</x:v>
      </x:c>
      <x:c r="G15" s="149" t="str">
        <x:v>P1</x:v>
      </x:c>
      <x:c r="H15" s="149" t="str"/>
    </x:row>
    <x:row r="16">
      <x:c r="A16" s="149" t="n">
        <x:v>12</x:v>
      </x:c>
      <x:c r="B16" s="149" t="str">
        <x:v>地圖區域</x:v>
      </x:c>
      <x:c r="C16" s="149" t="str">
        <x:v>zones</x:v>
      </x:c>
      <x:c r="D16" s="149" t="str">
        <x:v>座標、靈氣、探索池、新手村</x:v>
      </x:c>
      <x:c r="E16" s="149" t="str">
        <x:v>是</x:v>
      </x:c>
      <x:c r="F16" s="149" t="str">
        <x:v>部分已接</x:v>
      </x:c>
      <x:c r="G16" s="149" t="str">
        <x:v>P0</x:v>
      </x:c>
      <x:c r="H16" s="149" t="str">
        <x:v>移動只走全地圖</x:v>
      </x:c>
    </x:row>
    <x:row r="17">
      <x:c r="A17" s="149" t="n">
        <x:v>13</x:v>
      </x:c>
      <x:c r="B17" s="149" t="str">
        <x:v>特殊區域規則</x:v>
      </x:c>
      <x:c r="C17" s="149" t="str">
        <x:v>zoneRules</x:v>
      </x:c>
      <x:c r="D17" s="149" t="str">
        <x:v>安全區、停留與傳送規則</x:v>
      </x:c>
      <x:c r="E17" s="149" t="str">
        <x:v>是</x:v>
      </x:c>
      <x:c r="F17" s="149" t="str">
        <x:v>未接</x:v>
      </x:c>
      <x:c r="G17" s="149" t="str">
        <x:v>P1</x:v>
      </x:c>
      <x:c r="H17" s="149" t="str"/>
    </x:row>
    <x:row r="18">
      <x:c r="A18" s="149" t="n">
        <x:v>14</x:v>
      </x:c>
      <x:c r="B18" s="149" t="str">
        <x:v>NPC商店</x:v>
      </x:c>
      <x:c r="C18" s="149" t="str">
        <x:v>shops</x:v>
      </x:c>
      <x:c r="D18" s="149" t="str">
        <x:v>販售物、價格與限購</x:v>
      </x:c>
      <x:c r="E18" s="149" t="str">
        <x:v>是</x:v>
      </x:c>
      <x:c r="F18" s="149" t="str">
        <x:v>被HTML覆蓋</x:v>
      </x:c>
      <x:c r="G18" s="149" t="str">
        <x:v>P0</x:v>
      </x:c>
      <x:c r="H18" s="149" t="str">
        <x:v>商城必須只讀此表</x:v>
      </x:c>
    </x:row>
    <x:row r="19">
      <x:c r="A19" s="149" t="n">
        <x:v>15</x:v>
      </x:c>
      <x:c r="B19" s="149" t="str">
        <x:v>宗門職位</x:v>
      </x:c>
      <x:c r="C19" s="149" t="str">
        <x:v>sect.roles</x:v>
      </x:c>
      <x:c r="D19" s="149" t="str">
        <x:v>職位、境界、抽成與權限</x:v>
      </x:c>
      <x:c r="E19" s="149" t="str">
        <x:v>是</x:v>
      </x:c>
      <x:c r="F19" s="149" t="str">
        <x:v>未接</x:v>
      </x:c>
      <x:c r="G19" s="149" t="str">
        <x:v>P2</x:v>
      </x:c>
      <x:c r="H19" s="149" t="str"/>
    </x:row>
    <x:row r="20">
      <x:c r="A20" s="149" t="n">
        <x:v>16</x:v>
      </x:c>
      <x:c r="B20" s="149" t="str">
        <x:v>宗門科研</x:v>
      </x:c>
      <x:c r="C20" s="149" t="str">
        <x:v>sect.research</x:v>
      </x:c>
      <x:c r="D20" s="149" t="str">
        <x:v>宗門科研項目與效果</x:v>
      </x:c>
      <x:c r="E20" s="149" t="str">
        <x:v>是</x:v>
      </x:c>
      <x:c r="F20" s="149" t="str">
        <x:v>未接</x:v>
      </x:c>
      <x:c r="G20" s="149" t="str">
        <x:v>P2</x:v>
      </x:c>
      <x:c r="H20" s="149" t="str"/>
    </x:row>
    <x:row r="21">
      <x:c r="A21" s="149" t="n">
        <x:v>17</x:v>
      </x:c>
      <x:c r="B21" s="149" t="str">
        <x:v>宗門能量</x:v>
      </x:c>
      <x:c r="C21" s="149" t="str">
        <x:v>sect.energy</x:v>
      </x:c>
      <x:c r="D21" s="149" t="str">
        <x:v>宗門能量與滅亡規則</x:v>
      </x:c>
      <x:c r="E21" s="149" t="str">
        <x:v>是</x:v>
      </x:c>
      <x:c r="F21" s="149" t="str">
        <x:v>未接</x:v>
      </x:c>
      <x:c r="G21" s="149" t="str">
        <x:v>P2</x:v>
      </x:c>
      <x:c r="H21" s="149" t="str"/>
    </x:row>
    <x:row r="22">
      <x:c r="A22" s="149" t="n">
        <x:v>18</x:v>
      </x:c>
      <x:c r="B22" s="149" t="str">
        <x:v>強化</x:v>
      </x:c>
      <x:c r="C22" s="149" t="str">
        <x:v>enhancementRules</x:v>
      </x:c>
      <x:c r="D22" s="149" t="str">
        <x:v>庚精成功率與失敗結果</x:v>
      </x:c>
      <x:c r="E22" s="149" t="str">
        <x:v>是</x:v>
      </x:c>
      <x:c r="F22" s="149" t="str">
        <x:v>V5寫死</x:v>
      </x:c>
      <x:c r="G22" s="149" t="str">
        <x:v>P0</x:v>
      </x:c>
      <x:c r="H22" s="149" t="str">
        <x:v>本版已更新為B規則</x:v>
      </x:c>
    </x:row>
    <x:row r="23">
      <x:c r="A23" s="149" t="n">
        <x:v>19</x:v>
      </x:c>
      <x:c r="B23" s="149" t="str">
        <x:v>屬性附魔</x:v>
      </x:c>
      <x:c r="C23" s="149" t="str">
        <x:v>enchantments</x:v>
      </x:c>
      <x:c r="D23" s="149" t="str">
        <x:v>屬性材料、成功率與效果</x:v>
      </x:c>
      <x:c r="E23" s="149" t="str">
        <x:v>是</x:v>
      </x:c>
      <x:c r="F23" s="149" t="str">
        <x:v>未接</x:v>
      </x:c>
      <x:c r="G23" s="149" t="str">
        <x:v>P2</x:v>
      </x:c>
      <x:c r="H23" s="149" t="str"/>
    </x:row>
    <x:row r="24">
      <x:c r="A24" s="149" t="n">
        <x:v>20</x:v>
      </x:c>
      <x:c r="B24" s="149" t="str">
        <x:v>耐久與損壞</x:v>
      </x:c>
      <x:c r="C24" s="149" t="str">
        <x:v>durability</x:v>
      </x:c>
      <x:c r="D24" s="149" t="str">
        <x:v>裝備損壞與修復</x:v>
      </x:c>
      <x:c r="E24" s="149" t="str">
        <x:v>是</x:v>
      </x:c>
      <x:c r="F24" s="149" t="str">
        <x:v>未接</x:v>
      </x:c>
      <x:c r="G24" s="149" t="str">
        <x:v>P2</x:v>
      </x:c>
      <x:c r="H24" s="149" t="str"/>
    </x:row>
    <x:row r="25">
      <x:c r="A25" s="149" t="n">
        <x:v>21</x:v>
      </x:c>
      <x:c r="B25" s="149" t="str">
        <x:v>傷害公式</x:v>
      </x:c>
      <x:c r="C25" s="149" t="str">
        <x:v>combatFormula</x:v>
      </x:c>
      <x:c r="D25" s="149" t="str">
        <x:v>攻防係數與傷害試算</x:v>
      </x:c>
      <x:c r="E25" s="149" t="str">
        <x:v>是</x:v>
      </x:c>
      <x:c r="F25" s="149" t="str">
        <x:v>部分寫死</x:v>
      </x:c>
      <x:c r="G25" s="149" t="str">
        <x:v>P0</x:v>
      </x:c>
      <x:c r="H25" s="149" t="str">
        <x:v>公式參數化</x:v>
      </x:c>
    </x:row>
    <x:row r="26">
      <x:c r="A26" s="149" t="n">
        <x:v>22</x:v>
      </x:c>
      <x:c r="B26" s="149" t="str">
        <x:v>訊息模板</x:v>
      </x:c>
      <x:c r="C26" s="149" t="str">
        <x:v>messages</x:v>
      </x:c>
      <x:c r="D26" s="149" t="str">
        <x:v>戰鬥與系統文字模板</x:v>
      </x:c>
      <x:c r="E26" s="149" t="str">
        <x:v>是</x:v>
      </x:c>
      <x:c r="F26" s="149" t="str">
        <x:v>已接但內嵌</x:v>
      </x:c>
      <x:c r="G26" s="149" t="str">
        <x:v>P1</x:v>
      </x:c>
      <x:c r="H26" s="149" t="str"/>
    </x:row>
    <x:row r="27">
      <x:c r="A27" s="149" t="n">
        <x:v>23</x:v>
      </x:c>
      <x:c r="B27" s="149" t="str">
        <x:v>活動場域</x:v>
      </x:c>
      <x:c r="C27" s="149" t="str">
        <x:v>eventZones</x:v>
      </x:c>
      <x:c r="D27" s="149" t="str">
        <x:v>活動王與活動地圖</x:v>
      </x:c>
      <x:c r="E27" s="149" t="str">
        <x:v>是</x:v>
      </x:c>
      <x:c r="F27" s="149" t="str">
        <x:v>未接</x:v>
      </x:c>
      <x:c r="G27" s="149" t="str">
        <x:v>P2</x:v>
      </x:c>
      <x:c r="H27" s="149" t="str"/>
    </x:row>
    <x:row r="28">
      <x:c r="A28" s="149" t="n">
        <x:v>24</x:v>
      </x:c>
      <x:c r="B28" s="149" t="str">
        <x:v>管理員工具</x:v>
      </x:c>
      <x:c r="C28" s="149" t="str">
        <x:v>adminTools</x:v>
      </x:c>
      <x:c r="D28" s="149" t="str">
        <x:v>管理指令與權限規格</x:v>
      </x:c>
      <x:c r="E28" s="149" t="str">
        <x:v>是</x:v>
      </x:c>
      <x:c r="F28" s="149" t="str">
        <x:v>未接</x:v>
      </x:c>
      <x:c r="G28" s="149" t="str">
        <x:v>P3</x:v>
      </x:c>
      <x:c r="H28" s="149" t="str"/>
    </x:row>
    <x:row r="29">
      <x:c r="A29" s="149" t="n">
        <x:v>25</x:v>
      </x:c>
      <x:c r="B29" s="149" t="str">
        <x:v>裝備欄位</x:v>
      </x:c>
      <x:c r="C29" s="149" t="str">
        <x:v>equipmentSlots</x:v>
      </x:c>
      <x:c r="D29" s="149" t="str">
        <x:v>多部位裝備槽位</x:v>
      </x:c>
      <x:c r="E29" s="149" t="str">
        <x:v>是</x:v>
      </x:c>
      <x:c r="F29" s="149" t="str">
        <x:v>目前僅武器/身甲</x:v>
      </x:c>
      <x:c r="G29" s="149" t="str">
        <x:v>P0</x:v>
      </x:c>
      <x:c r="H29" s="149" t="str">
        <x:v>修復無限穿戴根因</x:v>
      </x:c>
    </x:row>
    <x:row r="30">
      <x:c r="A30" t="n">
        <x:v>27</x:v>
      </x:c>
      <x:c r="B30" t="str">
        <x:v>AI修士</x:v>
      </x:c>
      <x:c r="C30" t="str">
        <x:v>aiPlayers</x:v>
      </x:c>
      <x:c r="D30" t="str">
        <x:v>AI姓名、人格、行為權重、起始位置與異象反應</x:v>
      </x:c>
      <x:c r="E30" t="str">
        <x:v>是</x:v>
      </x:c>
      <x:c r="F30" t="str">
        <x:v>V8接入</x:v>
      </x:c>
      <x:c r="G30" t="str">
        <x:v>P0</x:v>
      </x:c>
      <x:c r="H30" t="str">
        <x:v>固定50名，可由Excel增減</x:v>
      </x:c>
    </x:row>
  </x:sheetData>
  <x:mergeCells>
    <x:mergeCell ref="A1:H1"/>
    <x:mergeCell ref="A2:H2"/>
  </x:mergeCells>
  <x:conditionalFormatting sqref="G5:G29">
    <x:cfRule type="expression" dxfId="0" priority="1">
      <x:formula>G5="P0"</x:formula>
    </x:cfRule>
    <x:cfRule type="expression" dxfId="1" priority="2">
      <x:formula>G5="P1"</x:formula>
    </x:cfRule>
    <x:cfRule type="expression" dxfId="2" priority="3">
      <x:formula>G5="P2"</x:formula>
    </x:cfRule>
    <x:cfRule type="expression" dxfId="3" priority="4">
      <x:formula>G5="P3"</x:formula>
    </x:cfRule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18" hidden="0" customWidth="1"/>
    <x:col min="4" max="4" width="40" hidden="0" customWidth="1"/>
  </x:cols>
  <x:sheetData>
    <x:row r="1">
      <x:c r="A1" s="88" t="str">
        <x:v>Xianxia Engine V1｜版本控制</x:v>
      </x:c>
      <x:c r="B1" s="88"/>
      <x:c r="C1" s="88"/>
      <x:c r="D1" s="88"/>
    </x:row>
    <x:row r="3">
      <x:c r="A3" s="144" t="str">
        <x:v>欄位</x:v>
      </x:c>
      <x:c r="B3" s="144" t="str">
        <x:v>目前值</x:v>
      </x:c>
      <x:c r="C3" s="144" t="str">
        <x:v>鎖定狀態</x:v>
      </x:c>
      <x:c r="D3" s="144" t="str">
        <x:v>說明</x:v>
      </x:c>
    </x:row>
    <x:row r="4">
      <x:c r="A4" s="149" t="str">
        <x:v>基準版本</x:v>
      </x:c>
      <x:c r="B4" s="149" t="str">
        <x:v>ENGINE_V1_BASELINE_20260717</x:v>
      </x:c>
      <x:c r="C4" s="149" t="str">
        <x:v>LOCK</x:v>
      </x:c>
      <x:c r="D4" s="149" t="str">
        <x:v>正式資料驅動重建起點</x:v>
      </x:c>
    </x:row>
    <x:row r="5">
      <x:c r="A5" s="149" t="str">
        <x:v>原始主檔</x:v>
      </x:c>
      <x:c r="B5" s="149" t="str">
        <x:v>xianxia_br_config.xlsx</x:v>
      </x:c>
      <x:c r="C5" s="149" t="str">
        <x:v>READ ONLY</x:v>
      </x:c>
      <x:c r="D5" s="149" t="str">
        <x:v>不得覆蓋</x:v>
      </x:c>
    </x:row>
    <x:row r="6">
      <x:c r="A6" s="149" t="str">
        <x:v>遊戲平台路線</x:v>
      </x:c>
      <x:c r="B6" s="149" t="str">
        <x:v>PWA → Android包裝 → iOS</x:v>
      </x:c>
      <x:c r="C6" s="149" t="str">
        <x:v>LOCK</x:v>
      </x:c>
      <x:c r="D6" s="149" t="str">
        <x:v>先驗證遊戲與廣告模式</x:v>
      </x:c>
    </x:row>
    <x:row r="7">
      <x:c r="A7" s="149" t="str">
        <x:v>營運模式</x:v>
      </x:c>
      <x:c r="B7" s="149" t="str">
        <x:v>免費＋獎勵式廣告＋非戰力外觀/VIP</x:v>
      </x:c>
      <x:c r="C7" s="149" t="str">
        <x:v>LOCK</x:v>
      </x:c>
      <x:c r="D7" s="149" t="str">
        <x:v>禁止直接販售戰力</x:v>
      </x:c>
    </x:row>
    <x:row r="8">
      <x:c r="A8" s="149" t="str">
        <x:v>資料唯一來源</x:v>
      </x:c>
      <x:c r="B8" s="149" t="str">
        <x:v>Excel → JSON → Engine → UI</x:v>
      </x:c>
      <x:c r="C8" s="149" t="str">
        <x:v>LOCK</x:v>
      </x:c>
      <x:c r="D8" s="149" t="str">
        <x:v>HTML不得內嵌第二份數值</x:v>
      </x:c>
    </x:row>
    <x:row r="9">
      <x:c r="A9" s="149" t="str">
        <x:v>強化失敗規則</x:v>
      </x:c>
      <x:c r="B9" s="149" t="str">
        <x:v>40%消失 / 30%不變 / 30%降級</x:v>
      </x:c>
      <x:c r="C9" s="149" t="str">
        <x:v>LOCK</x:v>
      </x:c>
      <x:c r="D9" s="149" t="str">
        <x:v>僅在強化失敗後抽選</x:v>
      </x:c>
    </x:row>
    <x:row r="10">
      <x:c r="A10" s="149" t="str">
        <x:v>安全強化</x:v>
      </x:c>
      <x:c r="B10" s="149" t="str">
        <x:v>+0→+6必成</x:v>
      </x:c>
      <x:c r="C10" s="149" t="str">
        <x:v>LOCK</x:v>
      </x:c>
      <x:c r="D10" s="149" t="str"/>
    </x:row>
    <x:row r="11">
      <x:c r="A11" s="149" t="str">
        <x:v>高階成功率</x:v>
      </x:c>
      <x:c r="B11" s="149" t="str">
        <x:v>+6→+7 50%，其後每級÷2</x:v>
      </x:c>
      <x:c r="C11" s="149" t="str">
        <x:v>LOCK</x:v>
      </x:c>
      <x:c r="D11" s="149" t="str"/>
    </x:row>
    <x:row r="12">
      <x:c r="A12" s="149" t="str">
        <x:v>底部導航</x:v>
      </x:c>
      <x:c r="B12" s="149" t="str">
        <x:v>圖 / 囊 / 探 / 息 / 坊</x:v>
      </x:c>
      <x:c r="C12" s="149" t="str">
        <x:v>保留可換功能</x:v>
      </x:c>
      <x:c r="D12" s="149" t="str">
        <x:v>視覺與功能名稱可後續調整</x:v>
      </x:c>
    </x:row>
    <x:row r="13">
      <x:c r="A13" t="str">
        <x:v>V8更新項目</x:v>
      </x:c>
      <x:c r="B13" t="str">
        <x:v>持續打坐介面與計時收益</x:v>
      </x:c>
      <x:c r="C13" t="str">
        <x:v>LOCK</x:v>
      </x:c>
      <x:c r="D13" t="str">
        <x:v>打坐採開始/停止狀態，不再單次結算</x:v>
      </x:c>
    </x:row>
    <x:row r="14">
      <x:c r="A14" t="str">
        <x:v>V8更新項目</x:v>
      </x:c>
      <x:c r="B14" t="str">
        <x:v>50名AI修士世界模擬</x:v>
      </x:c>
      <x:c r="C14" t="str">
        <x:v>LOCK</x:v>
      </x:c>
      <x:c r="D14" t="str">
        <x:v>AI由Excel配置＋規則式狀態機驅動</x:v>
      </x:c>
    </x:row>
    <x:row r="15">
      <x:c r="A15" t="str">
        <x:v>V8更新項目</x:v>
      </x:c>
      <x:c r="B15" t="str">
        <x:v>新手村打坐EXP每2秒1點</x:v>
      </x:c>
      <x:c r="C15" t="str">
        <x:v>LOCK</x:v>
      </x:c>
      <x:c r="D15" t="str">
        <x:v>讓新玩家快速進入世界；新手村仍禁止突破</x:v>
      </x:c>
    </x:row>
    <x:row r="16">
      <x:c r="A16" t="str">
        <x:v>V8更新項目</x:v>
      </x:c>
      <x:c r="B16" t="str">
        <x:v>介面UI 2.0第一階段</x:v>
      </x:c>
      <x:c r="C16" t="str">
        <x:v>ACTIVE</x:v>
      </x:c>
      <x:c r="D16" t="str">
        <x:v>先重製打坐、世界修士情報與主畫面層次</x:v>
      </x:c>
    </x:row>
  </x:sheetData>
  <x:mergeCells>
    <x:mergeCell ref="A1:D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27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12" hidden="0" customWidth="1"/>
    <x:col min="10" max="10" width="28" hidden="0" customWidth="1"/>
  </x:cols>
  <x:sheetData>
    <x:row r="1">
      <x:c r="A1" s="195" t="str">
        <x:v>AI修士配置（世界模擬）</x:v>
      </x:c>
      <x:c r="B1" s="195"/>
      <x:c r="C1" s="195"/>
      <x:c r="D1" s="195"/>
      <x:c r="E1" s="195"/>
      <x:c r="F1" s="195"/>
      <x:c r="G1" s="195"/>
      <x:c r="H1" s="195"/>
      <x:c r="I1" s="195"/>
      <x:c r="J1" s="195"/>
    </x:row>
    <x:row r="2">
      <x:c r="A2" s="200" t="str">
        <x:v>ai_id</x:v>
      </x:c>
      <x:c r="B2" s="200" t="str">
        <x:v>姓名</x:v>
      </x:c>
      <x:c r="C2" s="200" t="str">
        <x:v>人格類型</x:v>
      </x:c>
      <x:c r="D2" s="200" t="str">
        <x:v>行為權重</x:v>
      </x:c>
      <x:c r="E2" s="200" t="str">
        <x:v>初始境界</x:v>
      </x:c>
      <x:c r="F2" s="200" t="str">
        <x:v>初始等級</x:v>
      </x:c>
      <x:c r="G2" s="200" t="str">
        <x:v>初始區域</x:v>
      </x:c>
      <x:c r="H2" s="200" t="str">
        <x:v>突破遮蔽傾向</x:v>
      </x:c>
      <x:c r="I2" s="200" t="str">
        <x:v>異象反應</x:v>
      </x:c>
      <x:c r="J2" s="200" t="str">
        <x:v>備註</x:v>
      </x:c>
    </x:row>
    <x:row r="3">
      <x:c r="A3" s="149" t="n">
        <x:v>10001</x:v>
      </x:c>
      <x:c r="B3" s="149" t="str">
        <x:v>林青玄</x:v>
      </x:c>
      <x:c r="C3" s="149" t="str">
        <x:v>穩健修士</x:v>
      </x:c>
      <x:c r="D3" s="149" t="str">
        <x:v>修煉45|探索25|打怪20|交易10</x:v>
      </x:c>
      <x:c r="E3" s="149" t="str">
        <x:v>練氣期</x:v>
      </x:c>
      <x:c r="F3" s="149" t="n">
        <x:v>1</x:v>
      </x:c>
      <x:c r="G3" s="149" t="str">
        <x:v>A-1</x:v>
      </x:c>
      <x:c r="H3" s="149" t="str">
        <x:v>低</x:v>
      </x:c>
      <x:c r="I3" s="149" t="str">
        <x:v>觀望</x:v>
      </x:c>
      <x:c r="J3" s="149" t="str">
        <x:v>規則式AI，不呼叫大型語言模型</x:v>
      </x:c>
    </x:row>
    <x:row r="4">
      <x:c r="A4" s="149" t="n">
        <x:v>10002</x:v>
      </x:c>
      <x:c r="B4" s="149" t="str">
        <x:v>陳寒月</x:v>
      </x:c>
      <x:c r="C4" s="149" t="str">
        <x:v>好戰修士</x:v>
      </x:c>
      <x:c r="D4" s="149" t="str">
        <x:v>追蹤35|打怪30|伏擊20|修煉15</x:v>
      </x:c>
      <x:c r="E4" s="149" t="str">
        <x:v>練氣期</x:v>
      </x:c>
      <x:c r="F4" s="149" t="n">
        <x:v>2</x:v>
      </x:c>
      <x:c r="G4" s="149" t="str">
        <x:v>J-2</x:v>
      </x:c>
      <x:c r="H4" s="149" t="str">
        <x:v>低</x:v>
      </x:c>
      <x:c r="I4" s="149" t="str">
        <x:v>前往</x:v>
      </x:c>
      <x:c r="J4" s="149" t="str">
        <x:v>規則式AI，不呼叫大型語言模型</x:v>
      </x:c>
    </x:row>
    <x:row r="5">
      <x:c r="A5" s="149" t="n">
        <x:v>10003</x:v>
      </x:c>
      <x:c r="B5" s="149" t="str">
        <x:v>葉星河</x:v>
      </x:c>
      <x:c r="C5" s="149" t="str">
        <x:v>商人修士</x:v>
      </x:c>
      <x:c r="D5" s="149" t="str">
        <x:v>交易45|探索30|修煉20|打怪5</x:v>
      </x:c>
      <x:c r="E5" s="149" t="str">
        <x:v>練氣期</x:v>
      </x:c>
      <x:c r="F5" s="149" t="n">
        <x:v>3</x:v>
      </x:c>
      <x:c r="G5" s="149" t="str">
        <x:v>C-3</x:v>
      </x:c>
      <x:c r="H5" s="149" t="str">
        <x:v>中</x:v>
      </x:c>
      <x:c r="I5" s="149" t="str">
        <x:v>避開</x:v>
      </x:c>
      <x:c r="J5" s="149" t="str">
        <x:v>規則式AI，不呼叫大型語言模型</x:v>
      </x:c>
    </x:row>
    <x:row r="6">
      <x:c r="A6" s="149" t="n">
        <x:v>10004</x:v>
      </x:c>
      <x:c r="B6" s="149" t="str">
        <x:v>沈問天</x:v>
      </x:c>
      <x:c r="C6" s="149" t="str">
        <x:v>隱修修士</x:v>
      </x:c>
      <x:c r="D6" s="149" t="str">
        <x:v>修煉55|遮蔽20|探索15|打怪10</x:v>
      </x:c>
      <x:c r="E6" s="149" t="str">
        <x:v>練氣期</x:v>
      </x:c>
      <x:c r="F6" s="149" t="n">
        <x:v>4</x:v>
      </x:c>
      <x:c r="G6" s="149" t="str">
        <x:v>H-4</x:v>
      </x:c>
      <x:c r="H6" s="149" t="str">
        <x:v>高</x:v>
      </x:c>
      <x:c r="I6" s="149" t="str">
        <x:v>觀望</x:v>
      </x:c>
      <x:c r="J6" s="149" t="str">
        <x:v>規則式AI，不呼叫大型語言模型</x:v>
      </x:c>
    </x:row>
    <x:row r="7">
      <x:c r="A7" s="149" t="n">
        <x:v>10005</x:v>
      </x:c>
      <x:c r="B7" s="149" t="str">
        <x:v>顧靈犀</x:v>
      </x:c>
      <x:c r="C7" s="149" t="str">
        <x:v>機緣修士</x:v>
      </x:c>
      <x:c r="D7" s="149" t="str">
        <x:v>異象40|探索30|打怪20|修煉10</x:v>
      </x:c>
      <x:c r="E7" s="149" t="str">
        <x:v>練氣期</x:v>
      </x:c>
      <x:c r="F7" s="149" t="n">
        <x:v>5</x:v>
      </x:c>
      <x:c r="G7" s="149" t="str">
        <x:v>F-2</x:v>
      </x:c>
      <x:c r="H7" s="149" t="str">
        <x:v>中</x:v>
      </x:c>
      <x:c r="I7" s="149" t="str">
        <x:v>前往</x:v>
      </x:c>
      <x:c r="J7" s="149" t="str">
        <x:v>規則式AI，不呼叫大型語言模型</x:v>
      </x:c>
    </x:row>
    <x:row r="8">
      <x:c r="A8" s="149" t="n">
        <x:v>10006</x:v>
      </x:c>
      <x:c r="B8" s="149" t="str">
        <x:v>蘇聽雪</x:v>
      </x:c>
      <x:c r="C8" s="149" t="str">
        <x:v>穩健修士</x:v>
      </x:c>
      <x:c r="D8" s="149" t="str">
        <x:v>修煉45|探索25|打怪20|交易10</x:v>
      </x:c>
      <x:c r="E8" s="149" t="str">
        <x:v>練氣期</x:v>
      </x:c>
      <x:c r="F8" s="149" t="n">
        <x:v>1</x:v>
      </x:c>
      <x:c r="G8" s="149" t="str">
        <x:v>A-1</x:v>
      </x:c>
      <x:c r="H8" s="149" t="str">
        <x:v>低</x:v>
      </x:c>
      <x:c r="I8" s="149" t="str">
        <x:v>觀望</x:v>
      </x:c>
      <x:c r="J8" s="149" t="str">
        <x:v>規則式AI，不呼叫大型語言模型</x:v>
      </x:c>
    </x:row>
    <x:row r="9">
      <x:c r="A9" s="149" t="n">
        <x:v>10007</x:v>
      </x:c>
      <x:c r="B9" s="149" t="str">
        <x:v>白凝香</x:v>
      </x:c>
      <x:c r="C9" s="149" t="str">
        <x:v>好戰修士</x:v>
      </x:c>
      <x:c r="D9" s="149" t="str">
        <x:v>追蹤35|打怪30|伏擊20|修煉15</x:v>
      </x:c>
      <x:c r="E9" s="149" t="str">
        <x:v>練氣期</x:v>
      </x:c>
      <x:c r="F9" s="149" t="n">
        <x:v>2</x:v>
      </x:c>
      <x:c r="G9" s="149" t="str">
        <x:v>J-2</x:v>
      </x:c>
      <x:c r="H9" s="149" t="str">
        <x:v>低</x:v>
      </x:c>
      <x:c r="I9" s="149" t="str">
        <x:v>前往</x:v>
      </x:c>
      <x:c r="J9" s="149" t="str">
        <x:v>規則式AI，不呼叫大型語言模型</x:v>
      </x:c>
    </x:row>
    <x:row r="10">
      <x:c r="A10" s="149" t="n">
        <x:v>10008</x:v>
      </x:c>
      <x:c r="B10" s="149" t="str">
        <x:v>秦雲舟</x:v>
      </x:c>
      <x:c r="C10" s="149" t="str">
        <x:v>商人修士</x:v>
      </x:c>
      <x:c r="D10" s="149" t="str">
        <x:v>交易45|探索30|修煉20|打怪5</x:v>
      </x:c>
      <x:c r="E10" s="149" t="str">
        <x:v>練氣期</x:v>
      </x:c>
      <x:c r="F10" s="149" t="n">
        <x:v>3</x:v>
      </x:c>
      <x:c r="G10" s="149" t="str">
        <x:v>C-3</x:v>
      </x:c>
      <x:c r="H10" s="149" t="str">
        <x:v>中</x:v>
      </x:c>
      <x:c r="I10" s="149" t="str">
        <x:v>避開</x:v>
      </x:c>
      <x:c r="J10" s="149" t="str">
        <x:v>規則式AI，不呼叫大型語言模型</x:v>
      </x:c>
    </x:row>
    <x:row r="11">
      <x:c r="A11" s="149" t="n">
        <x:v>10009</x:v>
      </x:c>
      <x:c r="B11" s="149" t="str">
        <x:v>楚長風</x:v>
      </x:c>
      <x:c r="C11" s="149" t="str">
        <x:v>隱修修士</x:v>
      </x:c>
      <x:c r="D11" s="149" t="str">
        <x:v>修煉55|遮蔽20|探索15|打怪10</x:v>
      </x:c>
      <x:c r="E11" s="149" t="str">
        <x:v>練氣期</x:v>
      </x:c>
      <x:c r="F11" s="149" t="n">
        <x:v>4</x:v>
      </x:c>
      <x:c r="G11" s="149" t="str">
        <x:v>H-4</x:v>
      </x:c>
      <x:c r="H11" s="149" t="str">
        <x:v>高</x:v>
      </x:c>
      <x:c r="I11" s="149" t="str">
        <x:v>觀望</x:v>
      </x:c>
      <x:c r="J11" s="149" t="str">
        <x:v>規則式AI，不呼叫大型語言模型</x:v>
      </x:c>
    </x:row>
    <x:row r="12">
      <x:c r="A12" s="149" t="n">
        <x:v>10010</x:v>
      </x:c>
      <x:c r="B12" s="149" t="str">
        <x:v>韓清霜</x:v>
      </x:c>
      <x:c r="C12" s="149" t="str">
        <x:v>機緣修士</x:v>
      </x:c>
      <x:c r="D12" s="149" t="str">
        <x:v>異象40|探索30|打怪20|修煉10</x:v>
      </x:c>
      <x:c r="E12" s="149" t="str">
        <x:v>練氣期</x:v>
      </x:c>
      <x:c r="F12" s="149" t="n">
        <x:v>5</x:v>
      </x:c>
      <x:c r="G12" s="149" t="str">
        <x:v>F-2</x:v>
      </x:c>
      <x:c r="H12" s="149" t="str">
        <x:v>中</x:v>
      </x:c>
      <x:c r="I12" s="149" t="str">
        <x:v>前往</x:v>
      </x:c>
      <x:c r="J12" s="149" t="str">
        <x:v>規則式AI，不呼叫大型語言模型</x:v>
      </x:c>
    </x:row>
    <x:row r="13">
      <x:c r="A13" s="149" t="n">
        <x:v>10011</x:v>
      </x:c>
      <x:c r="B13" s="149" t="str">
        <x:v>江知微</x:v>
      </x:c>
      <x:c r="C13" s="149" t="str">
        <x:v>穩健修士</x:v>
      </x:c>
      <x:c r="D13" s="149" t="str">
        <x:v>修煉45|探索25|打怪20|交易10</x:v>
      </x:c>
      <x:c r="E13" s="149" t="str">
        <x:v>練氣期</x:v>
      </x:c>
      <x:c r="F13" s="149" t="n">
        <x:v>1</x:v>
      </x:c>
      <x:c r="G13" s="149" t="str">
        <x:v>A-1</x:v>
      </x:c>
      <x:c r="H13" s="149" t="str">
        <x:v>低</x:v>
      </x:c>
      <x:c r="I13" s="149" t="str">
        <x:v>觀望</x:v>
      </x:c>
      <x:c r="J13" s="149" t="str">
        <x:v>規則式AI，不呼叫大型語言模型</x:v>
      </x:c>
    </x:row>
    <x:row r="14">
      <x:c r="A14" s="149" t="n">
        <x:v>10012</x:v>
      </x:c>
      <x:c r="B14" s="149" t="str">
        <x:v>洛昭陽</x:v>
      </x:c>
      <x:c r="C14" s="149" t="str">
        <x:v>好戰修士</x:v>
      </x:c>
      <x:c r="D14" s="149" t="str">
        <x:v>追蹤35|打怪30|伏擊20|修煉15</x:v>
      </x:c>
      <x:c r="E14" s="149" t="str">
        <x:v>練氣期</x:v>
      </x:c>
      <x:c r="F14" s="149" t="n">
        <x:v>2</x:v>
      </x:c>
      <x:c r="G14" s="149" t="str">
        <x:v>J-2</x:v>
      </x:c>
      <x:c r="H14" s="149" t="str">
        <x:v>低</x:v>
      </x:c>
      <x:c r="I14" s="149" t="str">
        <x:v>前往</x:v>
      </x:c>
      <x:c r="J14" s="149" t="str">
        <x:v>規則式AI，不呼叫大型語言模型</x:v>
      </x:c>
    </x:row>
    <x:row r="15">
      <x:c r="A15" s="149" t="n">
        <x:v>10013</x:v>
      </x:c>
      <x:c r="B15" s="149" t="str">
        <x:v>許逍遙</x:v>
      </x:c>
      <x:c r="C15" s="149" t="str">
        <x:v>商人修士</x:v>
      </x:c>
      <x:c r="D15" s="149" t="str">
        <x:v>交易45|探索30|修煉20|打怪5</x:v>
      </x:c>
      <x:c r="E15" s="149" t="str">
        <x:v>練氣期</x:v>
      </x:c>
      <x:c r="F15" s="149" t="n">
        <x:v>3</x:v>
      </x:c>
      <x:c r="G15" s="149" t="str">
        <x:v>C-3</x:v>
      </x:c>
      <x:c r="H15" s="149" t="str">
        <x:v>中</x:v>
      </x:c>
      <x:c r="I15" s="149" t="str">
        <x:v>避開</x:v>
      </x:c>
      <x:c r="J15" s="149" t="str">
        <x:v>規則式AI，不呼叫大型語言模型</x:v>
      </x:c>
    </x:row>
    <x:row r="16">
      <x:c r="A16" s="149" t="n">
        <x:v>10014</x:v>
      </x:c>
      <x:c r="B16" s="149" t="str">
        <x:v>魏墨竹</x:v>
      </x:c>
      <x:c r="C16" s="149" t="str">
        <x:v>隱修修士</x:v>
      </x:c>
      <x:c r="D16" s="149" t="str">
        <x:v>修煉55|遮蔽20|探索15|打怪10</x:v>
      </x:c>
      <x:c r="E16" s="149" t="str">
        <x:v>練氣期</x:v>
      </x:c>
      <x:c r="F16" s="149" t="n">
        <x:v>4</x:v>
      </x:c>
      <x:c r="G16" s="149" t="str">
        <x:v>H-4</x:v>
      </x:c>
      <x:c r="H16" s="149" t="str">
        <x:v>高</x:v>
      </x:c>
      <x:c r="I16" s="149" t="str">
        <x:v>觀望</x:v>
      </x:c>
      <x:c r="J16" s="149" t="str">
        <x:v>規則式AI，不呼叫大型語言模型</x:v>
      </x:c>
    </x:row>
    <x:row r="17">
      <x:c r="A17" s="149" t="n">
        <x:v>10015</x:v>
      </x:c>
      <x:c r="B17" s="149" t="str">
        <x:v>唐無塵</x:v>
      </x:c>
      <x:c r="C17" s="149" t="str">
        <x:v>機緣修士</x:v>
      </x:c>
      <x:c r="D17" s="149" t="str">
        <x:v>異象40|探索30|打怪20|修煉10</x:v>
      </x:c>
      <x:c r="E17" s="149" t="str">
        <x:v>練氣期</x:v>
      </x:c>
      <x:c r="F17" s="149" t="n">
        <x:v>5</x:v>
      </x:c>
      <x:c r="G17" s="149" t="str">
        <x:v>F-2</x:v>
      </x:c>
      <x:c r="H17" s="149" t="str">
        <x:v>中</x:v>
      </x:c>
      <x:c r="I17" s="149" t="str">
        <x:v>前往</x:v>
      </x:c>
      <x:c r="J17" s="149" t="str">
        <x:v>規則式AI，不呼叫大型語言模型</x:v>
      </x:c>
    </x:row>
    <x:row r="18">
      <x:c r="A18" s="149" t="n">
        <x:v>10016</x:v>
      </x:c>
      <x:c r="B18" s="149" t="str">
        <x:v>凌若水</x:v>
      </x:c>
      <x:c r="C18" s="149" t="str">
        <x:v>穩健修士</x:v>
      </x:c>
      <x:c r="D18" s="149" t="str">
        <x:v>修煉45|探索25|打怪20|交易10</x:v>
      </x:c>
      <x:c r="E18" s="149" t="str">
        <x:v>練氣期</x:v>
      </x:c>
      <x:c r="F18" s="149" t="n">
        <x:v>1</x:v>
      </x:c>
      <x:c r="G18" s="149" t="str">
        <x:v>A-1</x:v>
      </x:c>
      <x:c r="H18" s="149" t="str">
        <x:v>低</x:v>
      </x:c>
      <x:c r="I18" s="149" t="str">
        <x:v>觀望</x:v>
      </x:c>
      <x:c r="J18" s="149" t="str">
        <x:v>規則式AI，不呼叫大型語言模型</x:v>
      </x:c>
    </x:row>
    <x:row r="19">
      <x:c r="A19" s="149" t="n">
        <x:v>10017</x:v>
      </x:c>
      <x:c r="B19" s="149" t="str">
        <x:v>穆景行</x:v>
      </x:c>
      <x:c r="C19" s="149" t="str">
        <x:v>好戰修士</x:v>
      </x:c>
      <x:c r="D19" s="149" t="str">
        <x:v>追蹤35|打怪30|伏擊20|修煉15</x:v>
      </x:c>
      <x:c r="E19" s="149" t="str">
        <x:v>練氣期</x:v>
      </x:c>
      <x:c r="F19" s="149" t="n">
        <x:v>2</x:v>
      </x:c>
      <x:c r="G19" s="149" t="str">
        <x:v>J-2</x:v>
      </x:c>
      <x:c r="H19" s="149" t="str">
        <x:v>低</x:v>
      </x:c>
      <x:c r="I19" s="149" t="str">
        <x:v>前往</x:v>
      </x:c>
      <x:c r="J19" s="149" t="str">
        <x:v>規則式AI，不呼叫大型語言模型</x:v>
      </x:c>
    </x:row>
    <x:row r="20">
      <x:c r="A20" s="149" t="n">
        <x:v>10018</x:v>
      </x:c>
      <x:c r="B20" s="149" t="str">
        <x:v>蕭玄策</x:v>
      </x:c>
      <x:c r="C20" s="149" t="str">
        <x:v>商人修士</x:v>
      </x:c>
      <x:c r="D20" s="149" t="str">
        <x:v>交易45|探索30|修煉20|打怪5</x:v>
      </x:c>
      <x:c r="E20" s="149" t="str">
        <x:v>練氣期</x:v>
      </x:c>
      <x:c r="F20" s="149" t="n">
        <x:v>3</x:v>
      </x:c>
      <x:c r="G20" s="149" t="str">
        <x:v>C-3</x:v>
      </x:c>
      <x:c r="H20" s="149" t="str">
        <x:v>中</x:v>
      </x:c>
      <x:c r="I20" s="149" t="str">
        <x:v>避開</x:v>
      </x:c>
      <x:c r="J20" s="149" t="str">
        <x:v>規則式AI，不呼叫大型語言模型</x:v>
      </x:c>
    </x:row>
    <x:row r="21">
      <x:c r="A21" s="149" t="n">
        <x:v>10019</x:v>
      </x:c>
      <x:c r="B21" s="149" t="str">
        <x:v>段歸元</x:v>
      </x:c>
      <x:c r="C21" s="149" t="str">
        <x:v>隱修修士</x:v>
      </x:c>
      <x:c r="D21" s="149" t="str">
        <x:v>修煉55|遮蔽20|探索15|打怪10</x:v>
      </x:c>
      <x:c r="E21" s="149" t="str">
        <x:v>練氣期</x:v>
      </x:c>
      <x:c r="F21" s="149" t="n">
        <x:v>4</x:v>
      </x:c>
      <x:c r="G21" s="149" t="str">
        <x:v>H-4</x:v>
      </x:c>
      <x:c r="H21" s="149" t="str">
        <x:v>高</x:v>
      </x:c>
      <x:c r="I21" s="149" t="str">
        <x:v>觀望</x:v>
      </x:c>
      <x:c r="J21" s="149" t="str">
        <x:v>規則式AI，不呼叫大型語言模型</x:v>
      </x:c>
    </x:row>
    <x:row r="22">
      <x:c r="A22" s="149" t="n">
        <x:v>10020</x:v>
      </x:c>
      <x:c r="B22" s="149" t="str">
        <x:v>宋逐日</x:v>
      </x:c>
      <x:c r="C22" s="149" t="str">
        <x:v>機緣修士</x:v>
      </x:c>
      <x:c r="D22" s="149" t="str">
        <x:v>異象40|探索30|打怪20|修煉10</x:v>
      </x:c>
      <x:c r="E22" s="149" t="str">
        <x:v>練氣期</x:v>
      </x:c>
      <x:c r="F22" s="149" t="n">
        <x:v>5</x:v>
      </x:c>
      <x:c r="G22" s="149" t="str">
        <x:v>F-2</x:v>
      </x:c>
      <x:c r="H22" s="149" t="str">
        <x:v>中</x:v>
      </x:c>
      <x:c r="I22" s="149" t="str">
        <x:v>前往</x:v>
      </x:c>
      <x:c r="J22" s="149" t="str">
        <x:v>規則式AI，不呼叫大型語言模型</x:v>
      </x:c>
    </x:row>
    <x:row r="23">
      <x:c r="A23" s="149" t="n">
        <x:v>10021</x:v>
      </x:c>
      <x:c r="B23" s="149" t="str">
        <x:v>林青玄</x:v>
      </x:c>
      <x:c r="C23" s="149" t="str">
        <x:v>穩健修士</x:v>
      </x:c>
      <x:c r="D23" s="149" t="str">
        <x:v>修煉45|探索25|打怪20|交易10</x:v>
      </x:c>
      <x:c r="E23" s="149" t="str">
        <x:v>練氣期</x:v>
      </x:c>
      <x:c r="F23" s="149" t="n">
        <x:v>1</x:v>
      </x:c>
      <x:c r="G23" s="149" t="str">
        <x:v>A-1</x:v>
      </x:c>
      <x:c r="H23" s="149" t="str">
        <x:v>低</x:v>
      </x:c>
      <x:c r="I23" s="149" t="str">
        <x:v>觀望</x:v>
      </x:c>
      <x:c r="J23" s="149" t="str">
        <x:v>規則式AI，不呼叫大型語言模型</x:v>
      </x:c>
    </x:row>
    <x:row r="24">
      <x:c r="A24" s="149" t="n">
        <x:v>10022</x:v>
      </x:c>
      <x:c r="B24" s="149" t="str">
        <x:v>陳寒月</x:v>
      </x:c>
      <x:c r="C24" s="149" t="str">
        <x:v>好戰修士</x:v>
      </x:c>
      <x:c r="D24" s="149" t="str">
        <x:v>追蹤35|打怪30|伏擊20|修煉15</x:v>
      </x:c>
      <x:c r="E24" s="149" t="str">
        <x:v>練氣期</x:v>
      </x:c>
      <x:c r="F24" s="149" t="n">
        <x:v>2</x:v>
      </x:c>
      <x:c r="G24" s="149" t="str">
        <x:v>J-2</x:v>
      </x:c>
      <x:c r="H24" s="149" t="str">
        <x:v>低</x:v>
      </x:c>
      <x:c r="I24" s="149" t="str">
        <x:v>前往</x:v>
      </x:c>
      <x:c r="J24" s="149" t="str">
        <x:v>規則式AI，不呼叫大型語言模型</x:v>
      </x:c>
    </x:row>
    <x:row r="25">
      <x:c r="A25" s="149" t="n">
        <x:v>10023</x:v>
      </x:c>
      <x:c r="B25" s="149" t="str">
        <x:v>葉星河</x:v>
      </x:c>
      <x:c r="C25" s="149" t="str">
        <x:v>商人修士</x:v>
      </x:c>
      <x:c r="D25" s="149" t="str">
        <x:v>交易45|探索30|修煉20|打怪5</x:v>
      </x:c>
      <x:c r="E25" s="149" t="str">
        <x:v>練氣期</x:v>
      </x:c>
      <x:c r="F25" s="149" t="n">
        <x:v>3</x:v>
      </x:c>
      <x:c r="G25" s="149" t="str">
        <x:v>C-3</x:v>
      </x:c>
      <x:c r="H25" s="149" t="str">
        <x:v>中</x:v>
      </x:c>
      <x:c r="I25" s="149" t="str">
        <x:v>避開</x:v>
      </x:c>
      <x:c r="J25" s="149" t="str">
        <x:v>規則式AI，不呼叫大型語言模型</x:v>
      </x:c>
    </x:row>
    <x:row r="26">
      <x:c r="A26" s="149" t="n">
        <x:v>10024</x:v>
      </x:c>
      <x:c r="B26" s="149" t="str">
        <x:v>沈問天</x:v>
      </x:c>
      <x:c r="C26" s="149" t="str">
        <x:v>隱修修士</x:v>
      </x:c>
      <x:c r="D26" s="149" t="str">
        <x:v>修煉55|遮蔽20|探索15|打怪10</x:v>
      </x:c>
      <x:c r="E26" s="149" t="str">
        <x:v>練氣期</x:v>
      </x:c>
      <x:c r="F26" s="149" t="n">
        <x:v>4</x:v>
      </x:c>
      <x:c r="G26" s="149" t="str">
        <x:v>H-4</x:v>
      </x:c>
      <x:c r="H26" s="149" t="str">
        <x:v>高</x:v>
      </x:c>
      <x:c r="I26" s="149" t="str">
        <x:v>觀望</x:v>
      </x:c>
      <x:c r="J26" s="149" t="str">
        <x:v>規則式AI，不呼叫大型語言模型</x:v>
      </x:c>
    </x:row>
    <x:row r="27">
      <x:c r="A27" s="149" t="n">
        <x:v>10025</x:v>
      </x:c>
      <x:c r="B27" s="149" t="str">
        <x:v>顧靈犀</x:v>
      </x:c>
      <x:c r="C27" s="149" t="str">
        <x:v>機緣修士</x:v>
      </x:c>
      <x:c r="D27" s="149" t="str">
        <x:v>異象40|探索30|打怪20|修煉10</x:v>
      </x:c>
      <x:c r="E27" s="149" t="str">
        <x:v>練氣期</x:v>
      </x:c>
      <x:c r="F27" s="149" t="n">
        <x:v>5</x:v>
      </x:c>
      <x:c r="G27" s="149" t="str">
        <x:v>F-2</x:v>
      </x:c>
      <x:c r="H27" s="149" t="str">
        <x:v>中</x:v>
      </x:c>
      <x:c r="I27" s="149" t="str">
        <x:v>前往</x:v>
      </x:c>
      <x:c r="J27" s="149" t="str">
        <x:v>規則式AI，不呼叫大型語言模型</x:v>
      </x:c>
    </x:row>
    <x:row r="28">
      <x:c r="A28" s="149" t="n">
        <x:v>10026</x:v>
      </x:c>
      <x:c r="B28" s="149" t="str">
        <x:v>蘇聽雪</x:v>
      </x:c>
      <x:c r="C28" s="149" t="str">
        <x:v>穩健修士</x:v>
      </x:c>
      <x:c r="D28" s="149" t="str">
        <x:v>修煉45|探索25|打怪20|交易10</x:v>
      </x:c>
      <x:c r="E28" s="149" t="str">
        <x:v>練氣期</x:v>
      </x:c>
      <x:c r="F28" s="149" t="n">
        <x:v>1</x:v>
      </x:c>
      <x:c r="G28" s="149" t="str">
        <x:v>A-1</x:v>
      </x:c>
      <x:c r="H28" s="149" t="str">
        <x:v>低</x:v>
      </x:c>
      <x:c r="I28" s="149" t="str">
        <x:v>觀望</x:v>
      </x:c>
      <x:c r="J28" s="149" t="str">
        <x:v>規則式AI，不呼叫大型語言模型</x:v>
      </x:c>
    </x:row>
    <x:row r="29">
      <x:c r="A29" s="149" t="n">
        <x:v>10027</x:v>
      </x:c>
      <x:c r="B29" s="149" t="str">
        <x:v>白凝香</x:v>
      </x:c>
      <x:c r="C29" s="149" t="str">
        <x:v>好戰修士</x:v>
      </x:c>
      <x:c r="D29" s="149" t="str">
        <x:v>追蹤35|打怪30|伏擊20|修煉15</x:v>
      </x:c>
      <x:c r="E29" s="149" t="str">
        <x:v>練氣期</x:v>
      </x:c>
      <x:c r="F29" s="149" t="n">
        <x:v>2</x:v>
      </x:c>
      <x:c r="G29" s="149" t="str">
        <x:v>J-2</x:v>
      </x:c>
      <x:c r="H29" s="149" t="str">
        <x:v>低</x:v>
      </x:c>
      <x:c r="I29" s="149" t="str">
        <x:v>前往</x:v>
      </x:c>
      <x:c r="J29" s="149" t="str">
        <x:v>規則式AI，不呼叫大型語言模型</x:v>
      </x:c>
    </x:row>
    <x:row r="30">
      <x:c r="A30" s="149" t="n">
        <x:v>10028</x:v>
      </x:c>
      <x:c r="B30" s="149" t="str">
        <x:v>秦雲舟</x:v>
      </x:c>
      <x:c r="C30" s="149" t="str">
        <x:v>商人修士</x:v>
      </x:c>
      <x:c r="D30" s="149" t="str">
        <x:v>交易45|探索30|修煉20|打怪5</x:v>
      </x:c>
      <x:c r="E30" s="149" t="str">
        <x:v>練氣期</x:v>
      </x:c>
      <x:c r="F30" s="149" t="n">
        <x:v>3</x:v>
      </x:c>
      <x:c r="G30" s="149" t="str">
        <x:v>C-3</x:v>
      </x:c>
      <x:c r="H30" s="149" t="str">
        <x:v>中</x:v>
      </x:c>
      <x:c r="I30" s="149" t="str">
        <x:v>避開</x:v>
      </x:c>
      <x:c r="J30" s="149" t="str">
        <x:v>規則式AI，不呼叫大型語言模型</x:v>
      </x:c>
    </x:row>
    <x:row r="31">
      <x:c r="A31" s="149" t="n">
        <x:v>10029</x:v>
      </x:c>
      <x:c r="B31" s="149" t="str">
        <x:v>楚長風</x:v>
      </x:c>
      <x:c r="C31" s="149" t="str">
        <x:v>隱修修士</x:v>
      </x:c>
      <x:c r="D31" s="149" t="str">
        <x:v>修煉55|遮蔽20|探索15|打怪10</x:v>
      </x:c>
      <x:c r="E31" s="149" t="str">
        <x:v>練氣期</x:v>
      </x:c>
      <x:c r="F31" s="149" t="n">
        <x:v>4</x:v>
      </x:c>
      <x:c r="G31" s="149" t="str">
        <x:v>H-4</x:v>
      </x:c>
      <x:c r="H31" s="149" t="str">
        <x:v>高</x:v>
      </x:c>
      <x:c r="I31" s="149" t="str">
        <x:v>觀望</x:v>
      </x:c>
      <x:c r="J31" s="149" t="str">
        <x:v>規則式AI，不呼叫大型語言模型</x:v>
      </x:c>
    </x:row>
    <x:row r="32">
      <x:c r="A32" s="149" t="n">
        <x:v>10030</x:v>
      </x:c>
      <x:c r="B32" s="149" t="str">
        <x:v>韓清霜</x:v>
      </x:c>
      <x:c r="C32" s="149" t="str">
        <x:v>機緣修士</x:v>
      </x:c>
      <x:c r="D32" s="149" t="str">
        <x:v>異象40|探索30|打怪20|修煉10</x:v>
      </x:c>
      <x:c r="E32" s="149" t="str">
        <x:v>練氣期</x:v>
      </x:c>
      <x:c r="F32" s="149" t="n">
        <x:v>5</x:v>
      </x:c>
      <x:c r="G32" s="149" t="str">
        <x:v>F-2</x:v>
      </x:c>
      <x:c r="H32" s="149" t="str">
        <x:v>中</x:v>
      </x:c>
      <x:c r="I32" s="149" t="str">
        <x:v>前往</x:v>
      </x:c>
      <x:c r="J32" s="149" t="str">
        <x:v>規則式AI，不呼叫大型語言模型</x:v>
      </x:c>
    </x:row>
    <x:row r="33">
      <x:c r="A33" s="149" t="n">
        <x:v>10031</x:v>
      </x:c>
      <x:c r="B33" s="149" t="str">
        <x:v>江知微</x:v>
      </x:c>
      <x:c r="C33" s="149" t="str">
        <x:v>穩健修士</x:v>
      </x:c>
      <x:c r="D33" s="149" t="str">
        <x:v>修煉45|探索25|打怪20|交易10</x:v>
      </x:c>
      <x:c r="E33" s="149" t="str">
        <x:v>練氣期</x:v>
      </x:c>
      <x:c r="F33" s="149" t="n">
        <x:v>1</x:v>
      </x:c>
      <x:c r="G33" s="149" t="str">
        <x:v>A-1</x:v>
      </x:c>
      <x:c r="H33" s="149" t="str">
        <x:v>低</x:v>
      </x:c>
      <x:c r="I33" s="149" t="str">
        <x:v>觀望</x:v>
      </x:c>
      <x:c r="J33" s="149" t="str">
        <x:v>規則式AI，不呼叫大型語言模型</x:v>
      </x:c>
    </x:row>
    <x:row r="34">
      <x:c r="A34" s="149" t="n">
        <x:v>10032</x:v>
      </x:c>
      <x:c r="B34" s="149" t="str">
        <x:v>洛昭陽</x:v>
      </x:c>
      <x:c r="C34" s="149" t="str">
        <x:v>好戰修士</x:v>
      </x:c>
      <x:c r="D34" s="149" t="str">
        <x:v>追蹤35|打怪30|伏擊20|修煉15</x:v>
      </x:c>
      <x:c r="E34" s="149" t="str">
        <x:v>練氣期</x:v>
      </x:c>
      <x:c r="F34" s="149" t="n">
        <x:v>2</x:v>
      </x:c>
      <x:c r="G34" s="149" t="str">
        <x:v>J-2</x:v>
      </x:c>
      <x:c r="H34" s="149" t="str">
        <x:v>低</x:v>
      </x:c>
      <x:c r="I34" s="149" t="str">
        <x:v>前往</x:v>
      </x:c>
      <x:c r="J34" s="149" t="str">
        <x:v>規則式AI，不呼叫大型語言模型</x:v>
      </x:c>
    </x:row>
    <x:row r="35">
      <x:c r="A35" s="149" t="n">
        <x:v>10033</x:v>
      </x:c>
      <x:c r="B35" s="149" t="str">
        <x:v>許逍遙</x:v>
      </x:c>
      <x:c r="C35" s="149" t="str">
        <x:v>商人修士</x:v>
      </x:c>
      <x:c r="D35" s="149" t="str">
        <x:v>交易45|探索30|修煉20|打怪5</x:v>
      </x:c>
      <x:c r="E35" s="149" t="str">
        <x:v>練氣期</x:v>
      </x:c>
      <x:c r="F35" s="149" t="n">
        <x:v>3</x:v>
      </x:c>
      <x:c r="G35" s="149" t="str">
        <x:v>C-3</x:v>
      </x:c>
      <x:c r="H35" s="149" t="str">
        <x:v>中</x:v>
      </x:c>
      <x:c r="I35" s="149" t="str">
        <x:v>避開</x:v>
      </x:c>
      <x:c r="J35" s="149" t="str">
        <x:v>規則式AI，不呼叫大型語言模型</x:v>
      </x:c>
    </x:row>
    <x:row r="36">
      <x:c r="A36" s="149" t="n">
        <x:v>10034</x:v>
      </x:c>
      <x:c r="B36" s="149" t="str">
        <x:v>魏墨竹</x:v>
      </x:c>
      <x:c r="C36" s="149" t="str">
        <x:v>隱修修士</x:v>
      </x:c>
      <x:c r="D36" s="149" t="str">
        <x:v>修煉55|遮蔽20|探索15|打怪10</x:v>
      </x:c>
      <x:c r="E36" s="149" t="str">
        <x:v>練氣期</x:v>
      </x:c>
      <x:c r="F36" s="149" t="n">
        <x:v>4</x:v>
      </x:c>
      <x:c r="G36" s="149" t="str">
        <x:v>H-4</x:v>
      </x:c>
      <x:c r="H36" s="149" t="str">
        <x:v>高</x:v>
      </x:c>
      <x:c r="I36" s="149" t="str">
        <x:v>觀望</x:v>
      </x:c>
      <x:c r="J36" s="149" t="str">
        <x:v>規則式AI，不呼叫大型語言模型</x:v>
      </x:c>
    </x:row>
    <x:row r="37">
      <x:c r="A37" s="149" t="n">
        <x:v>10035</x:v>
      </x:c>
      <x:c r="B37" s="149" t="str">
        <x:v>唐無塵</x:v>
      </x:c>
      <x:c r="C37" s="149" t="str">
        <x:v>機緣修士</x:v>
      </x:c>
      <x:c r="D37" s="149" t="str">
        <x:v>異象40|探索30|打怪20|修煉10</x:v>
      </x:c>
      <x:c r="E37" s="149" t="str">
        <x:v>練氣期</x:v>
      </x:c>
      <x:c r="F37" s="149" t="n">
        <x:v>5</x:v>
      </x:c>
      <x:c r="G37" s="149" t="str">
        <x:v>F-2</x:v>
      </x:c>
      <x:c r="H37" s="149" t="str">
        <x:v>中</x:v>
      </x:c>
      <x:c r="I37" s="149" t="str">
        <x:v>前往</x:v>
      </x:c>
      <x:c r="J37" s="149" t="str">
        <x:v>規則式AI，不呼叫大型語言模型</x:v>
      </x:c>
    </x:row>
    <x:row r="38">
      <x:c r="A38" s="149" t="n">
        <x:v>10036</x:v>
      </x:c>
      <x:c r="B38" s="149" t="str">
        <x:v>凌若水</x:v>
      </x:c>
      <x:c r="C38" s="149" t="str">
        <x:v>穩健修士</x:v>
      </x:c>
      <x:c r="D38" s="149" t="str">
        <x:v>修煉45|探索25|打怪20|交易10</x:v>
      </x:c>
      <x:c r="E38" s="149" t="str">
        <x:v>練氣期</x:v>
      </x:c>
      <x:c r="F38" s="149" t="n">
        <x:v>1</x:v>
      </x:c>
      <x:c r="G38" s="149" t="str">
        <x:v>A-1</x:v>
      </x:c>
      <x:c r="H38" s="149" t="str">
        <x:v>低</x:v>
      </x:c>
      <x:c r="I38" s="149" t="str">
        <x:v>觀望</x:v>
      </x:c>
      <x:c r="J38" s="149" t="str">
        <x:v>規則式AI，不呼叫大型語言模型</x:v>
      </x:c>
    </x:row>
    <x:row r="39">
      <x:c r="A39" s="149" t="n">
        <x:v>10037</x:v>
      </x:c>
      <x:c r="B39" s="149" t="str">
        <x:v>穆景行</x:v>
      </x:c>
      <x:c r="C39" s="149" t="str">
        <x:v>好戰修士</x:v>
      </x:c>
      <x:c r="D39" s="149" t="str">
        <x:v>追蹤35|打怪30|伏擊20|修煉15</x:v>
      </x:c>
      <x:c r="E39" s="149" t="str">
        <x:v>練氣期</x:v>
      </x:c>
      <x:c r="F39" s="149" t="n">
        <x:v>2</x:v>
      </x:c>
      <x:c r="G39" s="149" t="str">
        <x:v>J-2</x:v>
      </x:c>
      <x:c r="H39" s="149" t="str">
        <x:v>低</x:v>
      </x:c>
      <x:c r="I39" s="149" t="str">
        <x:v>前往</x:v>
      </x:c>
      <x:c r="J39" s="149" t="str">
        <x:v>規則式AI，不呼叫大型語言模型</x:v>
      </x:c>
    </x:row>
    <x:row r="40">
      <x:c r="A40" s="149" t="n">
        <x:v>10038</x:v>
      </x:c>
      <x:c r="B40" s="149" t="str">
        <x:v>蕭玄策</x:v>
      </x:c>
      <x:c r="C40" s="149" t="str">
        <x:v>商人修士</x:v>
      </x:c>
      <x:c r="D40" s="149" t="str">
        <x:v>交易45|探索30|修煉20|打怪5</x:v>
      </x:c>
      <x:c r="E40" s="149" t="str">
        <x:v>練氣期</x:v>
      </x:c>
      <x:c r="F40" s="149" t="n">
        <x:v>3</x:v>
      </x:c>
      <x:c r="G40" s="149" t="str">
        <x:v>C-3</x:v>
      </x:c>
      <x:c r="H40" s="149" t="str">
        <x:v>中</x:v>
      </x:c>
      <x:c r="I40" s="149" t="str">
        <x:v>避開</x:v>
      </x:c>
      <x:c r="J40" s="149" t="str">
        <x:v>規則式AI，不呼叫大型語言模型</x:v>
      </x:c>
    </x:row>
    <x:row r="41">
      <x:c r="A41" s="149" t="n">
        <x:v>10039</x:v>
      </x:c>
      <x:c r="B41" s="149" t="str">
        <x:v>段歸元</x:v>
      </x:c>
      <x:c r="C41" s="149" t="str">
        <x:v>隱修修士</x:v>
      </x:c>
      <x:c r="D41" s="149" t="str">
        <x:v>修煉55|遮蔽20|探索15|打怪10</x:v>
      </x:c>
      <x:c r="E41" s="149" t="str">
        <x:v>練氣期</x:v>
      </x:c>
      <x:c r="F41" s="149" t="n">
        <x:v>4</x:v>
      </x:c>
      <x:c r="G41" s="149" t="str">
        <x:v>H-4</x:v>
      </x:c>
      <x:c r="H41" s="149" t="str">
        <x:v>高</x:v>
      </x:c>
      <x:c r="I41" s="149" t="str">
        <x:v>觀望</x:v>
      </x:c>
      <x:c r="J41" s="149" t="str">
        <x:v>規則式AI，不呼叫大型語言模型</x:v>
      </x:c>
    </x:row>
    <x:row r="42">
      <x:c r="A42" s="149" t="n">
        <x:v>10040</x:v>
      </x:c>
      <x:c r="B42" s="149" t="str">
        <x:v>宋逐日</x:v>
      </x:c>
      <x:c r="C42" s="149" t="str">
        <x:v>機緣修士</x:v>
      </x:c>
      <x:c r="D42" s="149" t="str">
        <x:v>異象40|探索30|打怪20|修煉10</x:v>
      </x:c>
      <x:c r="E42" s="149" t="str">
        <x:v>練氣期</x:v>
      </x:c>
      <x:c r="F42" s="149" t="n">
        <x:v>5</x:v>
      </x:c>
      <x:c r="G42" s="149" t="str">
        <x:v>F-2</x:v>
      </x:c>
      <x:c r="H42" s="149" t="str">
        <x:v>中</x:v>
      </x:c>
      <x:c r="I42" s="149" t="str">
        <x:v>前往</x:v>
      </x:c>
      <x:c r="J42" s="149" t="str">
        <x:v>規則式AI，不呼叫大型語言模型</x:v>
      </x:c>
    </x:row>
    <x:row r="43">
      <x:c r="A43" s="149" t="n">
        <x:v>10041</x:v>
      </x:c>
      <x:c r="B43" s="149" t="str">
        <x:v>林青玄</x:v>
      </x:c>
      <x:c r="C43" s="149" t="str">
        <x:v>穩健修士</x:v>
      </x:c>
      <x:c r="D43" s="149" t="str">
        <x:v>修煉45|探索25|打怪20|交易10</x:v>
      </x:c>
      <x:c r="E43" s="149" t="str">
        <x:v>練氣期</x:v>
      </x:c>
      <x:c r="F43" s="149" t="n">
        <x:v>1</x:v>
      </x:c>
      <x:c r="G43" s="149" t="str">
        <x:v>A-1</x:v>
      </x:c>
      <x:c r="H43" s="149" t="str">
        <x:v>低</x:v>
      </x:c>
      <x:c r="I43" s="149" t="str">
        <x:v>觀望</x:v>
      </x:c>
      <x:c r="J43" s="149" t="str">
        <x:v>規則式AI，不呼叫大型語言模型</x:v>
      </x:c>
    </x:row>
    <x:row r="44">
      <x:c r="A44" s="149" t="n">
        <x:v>10042</x:v>
      </x:c>
      <x:c r="B44" s="149" t="str">
        <x:v>陳寒月</x:v>
      </x:c>
      <x:c r="C44" s="149" t="str">
        <x:v>好戰修士</x:v>
      </x:c>
      <x:c r="D44" s="149" t="str">
        <x:v>追蹤35|打怪30|伏擊20|修煉15</x:v>
      </x:c>
      <x:c r="E44" s="149" t="str">
        <x:v>練氣期</x:v>
      </x:c>
      <x:c r="F44" s="149" t="n">
        <x:v>2</x:v>
      </x:c>
      <x:c r="G44" s="149" t="str">
        <x:v>J-2</x:v>
      </x:c>
      <x:c r="H44" s="149" t="str">
        <x:v>低</x:v>
      </x:c>
      <x:c r="I44" s="149" t="str">
        <x:v>前往</x:v>
      </x:c>
      <x:c r="J44" s="149" t="str">
        <x:v>規則式AI，不呼叫大型語言模型</x:v>
      </x:c>
    </x:row>
    <x:row r="45">
      <x:c r="A45" s="149" t="n">
        <x:v>10043</x:v>
      </x:c>
      <x:c r="B45" s="149" t="str">
        <x:v>葉星河</x:v>
      </x:c>
      <x:c r="C45" s="149" t="str">
        <x:v>商人修士</x:v>
      </x:c>
      <x:c r="D45" s="149" t="str">
        <x:v>交易45|探索30|修煉20|打怪5</x:v>
      </x:c>
      <x:c r="E45" s="149" t="str">
        <x:v>練氣期</x:v>
      </x:c>
      <x:c r="F45" s="149" t="n">
        <x:v>3</x:v>
      </x:c>
      <x:c r="G45" s="149" t="str">
        <x:v>C-3</x:v>
      </x:c>
      <x:c r="H45" s="149" t="str">
        <x:v>中</x:v>
      </x:c>
      <x:c r="I45" s="149" t="str">
        <x:v>避開</x:v>
      </x:c>
      <x:c r="J45" s="149" t="str">
        <x:v>規則式AI，不呼叫大型語言模型</x:v>
      </x:c>
    </x:row>
    <x:row r="46">
      <x:c r="A46" s="149" t="n">
        <x:v>10044</x:v>
      </x:c>
      <x:c r="B46" s="149" t="str">
        <x:v>沈問天</x:v>
      </x:c>
      <x:c r="C46" s="149" t="str">
        <x:v>隱修修士</x:v>
      </x:c>
      <x:c r="D46" s="149" t="str">
        <x:v>修煉55|遮蔽20|探索15|打怪10</x:v>
      </x:c>
      <x:c r="E46" s="149" t="str">
        <x:v>練氣期</x:v>
      </x:c>
      <x:c r="F46" s="149" t="n">
        <x:v>4</x:v>
      </x:c>
      <x:c r="G46" s="149" t="str">
        <x:v>H-4</x:v>
      </x:c>
      <x:c r="H46" s="149" t="str">
        <x:v>高</x:v>
      </x:c>
      <x:c r="I46" s="149" t="str">
        <x:v>觀望</x:v>
      </x:c>
      <x:c r="J46" s="149" t="str">
        <x:v>規則式AI，不呼叫大型語言模型</x:v>
      </x:c>
    </x:row>
    <x:row r="47">
      <x:c r="A47" s="149" t="n">
        <x:v>10045</x:v>
      </x:c>
      <x:c r="B47" s="149" t="str">
        <x:v>顧靈犀</x:v>
      </x:c>
      <x:c r="C47" s="149" t="str">
        <x:v>機緣修士</x:v>
      </x:c>
      <x:c r="D47" s="149" t="str">
        <x:v>異象40|探索30|打怪20|修煉10</x:v>
      </x:c>
      <x:c r="E47" s="149" t="str">
        <x:v>練氣期</x:v>
      </x:c>
      <x:c r="F47" s="149" t="n">
        <x:v>5</x:v>
      </x:c>
      <x:c r="G47" s="149" t="str">
        <x:v>F-2</x:v>
      </x:c>
      <x:c r="H47" s="149" t="str">
        <x:v>中</x:v>
      </x:c>
      <x:c r="I47" s="149" t="str">
        <x:v>前往</x:v>
      </x:c>
      <x:c r="J47" s="149" t="str">
        <x:v>規則式AI，不呼叫大型語言模型</x:v>
      </x:c>
    </x:row>
    <x:row r="48">
      <x:c r="A48" s="149" t="n">
        <x:v>10046</x:v>
      </x:c>
      <x:c r="B48" s="149" t="str">
        <x:v>蘇聽雪</x:v>
      </x:c>
      <x:c r="C48" s="149" t="str">
        <x:v>穩健修士</x:v>
      </x:c>
      <x:c r="D48" s="149" t="str">
        <x:v>修煉45|探索25|打怪20|交易10</x:v>
      </x:c>
      <x:c r="E48" s="149" t="str">
        <x:v>練氣期</x:v>
      </x:c>
      <x:c r="F48" s="149" t="n">
        <x:v>1</x:v>
      </x:c>
      <x:c r="G48" s="149" t="str">
        <x:v>A-1</x:v>
      </x:c>
      <x:c r="H48" s="149" t="str">
        <x:v>低</x:v>
      </x:c>
      <x:c r="I48" s="149" t="str">
        <x:v>觀望</x:v>
      </x:c>
      <x:c r="J48" s="149" t="str">
        <x:v>規則式AI，不呼叫大型語言模型</x:v>
      </x:c>
    </x:row>
    <x:row r="49">
      <x:c r="A49" s="149" t="n">
        <x:v>10047</x:v>
      </x:c>
      <x:c r="B49" s="149" t="str">
        <x:v>白凝香</x:v>
      </x:c>
      <x:c r="C49" s="149" t="str">
        <x:v>好戰修士</x:v>
      </x:c>
      <x:c r="D49" s="149" t="str">
        <x:v>追蹤35|打怪30|伏擊20|修煉15</x:v>
      </x:c>
      <x:c r="E49" s="149" t="str">
        <x:v>練氣期</x:v>
      </x:c>
      <x:c r="F49" s="149" t="n">
        <x:v>2</x:v>
      </x:c>
      <x:c r="G49" s="149" t="str">
        <x:v>J-2</x:v>
      </x:c>
      <x:c r="H49" s="149" t="str">
        <x:v>低</x:v>
      </x:c>
      <x:c r="I49" s="149" t="str">
        <x:v>前往</x:v>
      </x:c>
      <x:c r="J49" s="149" t="str">
        <x:v>規則式AI，不呼叫大型語言模型</x:v>
      </x:c>
    </x:row>
    <x:row r="50">
      <x:c r="A50" s="149" t="n">
        <x:v>10048</x:v>
      </x:c>
      <x:c r="B50" s="149" t="str">
        <x:v>秦雲舟</x:v>
      </x:c>
      <x:c r="C50" s="149" t="str">
        <x:v>商人修士</x:v>
      </x:c>
      <x:c r="D50" s="149" t="str">
        <x:v>交易45|探索30|修煉20|打怪5</x:v>
      </x:c>
      <x:c r="E50" s="149" t="str">
        <x:v>練氣期</x:v>
      </x:c>
      <x:c r="F50" s="149" t="n">
        <x:v>3</x:v>
      </x:c>
      <x:c r="G50" s="149" t="str">
        <x:v>C-3</x:v>
      </x:c>
      <x:c r="H50" s="149" t="str">
        <x:v>中</x:v>
      </x:c>
      <x:c r="I50" s="149" t="str">
        <x:v>避開</x:v>
      </x:c>
      <x:c r="J50" s="149" t="str">
        <x:v>規則式AI，不呼叫大型語言模型</x:v>
      </x:c>
    </x:row>
    <x:row r="51">
      <x:c r="A51" s="149" t="n">
        <x:v>10049</x:v>
      </x:c>
      <x:c r="B51" s="149" t="str">
        <x:v>楚長風</x:v>
      </x:c>
      <x:c r="C51" s="149" t="str">
        <x:v>隱修修士</x:v>
      </x:c>
      <x:c r="D51" s="149" t="str">
        <x:v>修煉55|遮蔽20|探索15|打怪10</x:v>
      </x:c>
      <x:c r="E51" s="149" t="str">
        <x:v>練氣期</x:v>
      </x:c>
      <x:c r="F51" s="149" t="n">
        <x:v>4</x:v>
      </x:c>
      <x:c r="G51" s="149" t="str">
        <x:v>H-4</x:v>
      </x:c>
      <x:c r="H51" s="149" t="str">
        <x:v>高</x:v>
      </x:c>
      <x:c r="I51" s="149" t="str">
        <x:v>觀望</x:v>
      </x:c>
      <x:c r="J51" s="149" t="str">
        <x:v>規則式AI，不呼叫大型語言模型</x:v>
      </x:c>
    </x:row>
    <x:row r="52">
      <x:c r="A52" s="149" t="n">
        <x:v>10050</x:v>
      </x:c>
      <x:c r="B52" s="149" t="str">
        <x:v>韓清霜</x:v>
      </x:c>
      <x:c r="C52" s="149" t="str">
        <x:v>機緣修士</x:v>
      </x:c>
      <x:c r="D52" s="149" t="str">
        <x:v>異象40|探索30|打怪20|修煉10</x:v>
      </x:c>
      <x:c r="E52" s="149" t="str">
        <x:v>練氣期</x:v>
      </x:c>
      <x:c r="F52" s="149" t="n">
        <x:v>5</x:v>
      </x:c>
      <x:c r="G52" s="149" t="str">
        <x:v>F-2</x:v>
      </x:c>
      <x:c r="H52" s="149" t="str">
        <x:v>中</x:v>
      </x:c>
      <x:c r="I52" s="149" t="str">
        <x:v>前往</x:v>
      </x:c>
      <x:c r="J52" s="149" t="str">
        <x:v>規則式AI，不呼叫大型語言模型</x:v>
      </x:c>
    </x:row>
  </x:sheetData>
  <x:mergeCells>
    <x:mergeCell ref="A1:J1"/>
  </x:mergeCells>
  <x:pageMargins left="0.7" right="0.7" top="0.75" bottom="0.75" header="0.3" footer="0.3"/>
</x:worksheet>
</file>